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ds" sheetId="1" r:id="rId4"/>
    <sheet state="visible" name="Parameter" sheetId="2" r:id="rId5"/>
    <sheet state="visible" name="Context" sheetId="3" r:id="rId6"/>
  </sheets>
  <definedNames/>
  <calcPr/>
</workbook>
</file>

<file path=xl/sharedStrings.xml><?xml version="1.0" encoding="utf-8"?>
<sst xmlns="http://schemas.openxmlformats.org/spreadsheetml/2006/main" count="1435" uniqueCount="453">
  <si>
    <t>Issuer Name</t>
  </si>
  <si>
    <t>Issue Date</t>
  </si>
  <si>
    <t>Maturity</t>
  </si>
  <si>
    <t>Bid Price</t>
  </si>
  <si>
    <t>Ask Price</t>
  </si>
  <si>
    <t>Cpn</t>
  </si>
  <si>
    <t>Currency</t>
  </si>
  <si>
    <t>Clean price</t>
  </si>
  <si>
    <t>Days to Maturity</t>
  </si>
  <si>
    <t>Accrued Interest</t>
  </si>
  <si>
    <t>Next Coupon Date</t>
  </si>
  <si>
    <t>Previous Coupon Date</t>
  </si>
  <si>
    <t>Invoice Price</t>
  </si>
  <si>
    <t>Time(Years)</t>
  </si>
  <si>
    <t>Present Value</t>
  </si>
  <si>
    <t>United States Treasury Note/Bond</t>
  </si>
  <si>
    <t>2/28/2018</t>
  </si>
  <si>
    <t>2/28/2025</t>
  </si>
  <si>
    <t>USD</t>
  </si>
  <si>
    <t>2/28/2023</t>
  </si>
  <si>
    <t>3/2/2020</t>
  </si>
  <si>
    <t>3/15/2022</t>
  </si>
  <si>
    <t>3/15/2025</t>
  </si>
  <si>
    <t>3/31/2020</t>
  </si>
  <si>
    <t>3/31/2025</t>
  </si>
  <si>
    <t>3/31/2023</t>
  </si>
  <si>
    <t>4/2/2018</t>
  </si>
  <si>
    <t>4/18/2022</t>
  </si>
  <si>
    <t>4/15/2025</t>
  </si>
  <si>
    <t>4/30/2018</t>
  </si>
  <si>
    <t>4/30/2025</t>
  </si>
  <si>
    <t>4/30/2020</t>
  </si>
  <si>
    <t>5/1/2023</t>
  </si>
  <si>
    <t>5/15/2015</t>
  </si>
  <si>
    <t>5/15/2025</t>
  </si>
  <si>
    <t>5/16/2022</t>
  </si>
  <si>
    <t>5/31/2018</t>
  </si>
  <si>
    <t>5/31/2025</t>
  </si>
  <si>
    <t>5/31/2023</t>
  </si>
  <si>
    <t>6/1/2020</t>
  </si>
  <si>
    <t>6/15/2022</t>
  </si>
  <si>
    <t>6/15/2025</t>
  </si>
  <si>
    <t>6/30/2020</t>
  </si>
  <si>
    <t>6/30/2025</t>
  </si>
  <si>
    <t>6/30/2023</t>
  </si>
  <si>
    <t>7/2/2018</t>
  </si>
  <si>
    <t>7/15/2022</t>
  </si>
  <si>
    <t>7/15/2025</t>
  </si>
  <si>
    <t>7/31/2018</t>
  </si>
  <si>
    <t>7/31/2025</t>
  </si>
  <si>
    <t>7/31/2020</t>
  </si>
  <si>
    <t>7/31/2023</t>
  </si>
  <si>
    <t>8/15/1995</t>
  </si>
  <si>
    <t>8/15/2025</t>
  </si>
  <si>
    <t>8/15/2022</t>
  </si>
  <si>
    <t>8/17/2015</t>
  </si>
  <si>
    <t>8/31/2018</t>
  </si>
  <si>
    <t>8/31/2025</t>
  </si>
  <si>
    <t>8/31/2020</t>
  </si>
  <si>
    <t>8/31/2023</t>
  </si>
  <si>
    <t>9/15/2022</t>
  </si>
  <si>
    <t>9/15/2025</t>
  </si>
  <si>
    <t>10/1/2018</t>
  </si>
  <si>
    <t>9/30/2025</t>
  </si>
  <si>
    <t>10/2/2023</t>
  </si>
  <si>
    <t>9/30/2020</t>
  </si>
  <si>
    <t>10/17/2022</t>
  </si>
  <si>
    <t>10/15/2025</t>
  </si>
  <si>
    <t>10/31/2018</t>
  </si>
  <si>
    <t>10/31/2025</t>
  </si>
  <si>
    <t>10/31/2023</t>
  </si>
  <si>
    <t>11/2/2020</t>
  </si>
  <si>
    <t>11/15/2022</t>
  </si>
  <si>
    <t>11/15/2025</t>
  </si>
  <si>
    <t>11/16/2015</t>
  </si>
  <si>
    <t>11/30/2018</t>
  </si>
  <si>
    <t>11/30/2025</t>
  </si>
  <si>
    <t>11/30/2020</t>
  </si>
  <si>
    <t>11/30/2023</t>
  </si>
  <si>
    <t>12/15/2022</t>
  </si>
  <si>
    <t>12/15/2025</t>
  </si>
  <si>
    <t>1/2/2024</t>
  </si>
  <si>
    <t>12/31/2025</t>
  </si>
  <si>
    <t>12/31/2018</t>
  </si>
  <si>
    <t>12/31/2020</t>
  </si>
  <si>
    <t>1/17/2023</t>
  </si>
  <si>
    <t>1/15/2026</t>
  </si>
  <si>
    <t>1/31/2019</t>
  </si>
  <si>
    <t>1/31/2026</t>
  </si>
  <si>
    <t>1/31/2024</t>
  </si>
  <si>
    <t>2/1/2021</t>
  </si>
  <si>
    <t>2/15/1996</t>
  </si>
  <si>
    <t>2/15/2026</t>
  </si>
  <si>
    <t>2/15/2023</t>
  </si>
  <si>
    <t>2/16/2016</t>
  </si>
  <si>
    <t>2/28/2019</t>
  </si>
  <si>
    <t>2/28/2026</t>
  </si>
  <si>
    <t>2/29/2024</t>
  </si>
  <si>
    <t>3/1/2021</t>
  </si>
  <si>
    <t>3/15/2023</t>
  </si>
  <si>
    <t>3/15/2026</t>
  </si>
  <si>
    <t>3/31/2021</t>
  </si>
  <si>
    <t>3/31/2026</t>
  </si>
  <si>
    <t>4/1/2019</t>
  </si>
  <si>
    <t>4/1/2024</t>
  </si>
  <si>
    <t>4/17/2023</t>
  </si>
  <si>
    <t>4/15/2026</t>
  </si>
  <si>
    <t>4/30/2019</t>
  </si>
  <si>
    <t>4/30/2026</t>
  </si>
  <si>
    <t>4/30/2021</t>
  </si>
  <si>
    <t>4/30/2024</t>
  </si>
  <si>
    <t>5/15/2023</t>
  </si>
  <si>
    <t>5/15/2026</t>
  </si>
  <si>
    <t>5/16/2016</t>
  </si>
  <si>
    <t>5/31/2019</t>
  </si>
  <si>
    <t>5/31/2026</t>
  </si>
  <si>
    <t>5/31/2024</t>
  </si>
  <si>
    <t>6/1/2021</t>
  </si>
  <si>
    <t>6/15/2023</t>
  </si>
  <si>
    <t>6/15/2026</t>
  </si>
  <si>
    <t>6/30/2021</t>
  </si>
  <si>
    <t>6/30/2026</t>
  </si>
  <si>
    <t>7/1/2019</t>
  </si>
  <si>
    <t>7/1/2024</t>
  </si>
  <si>
    <t>7/17/2023</t>
  </si>
  <si>
    <t>7/15/2026</t>
  </si>
  <si>
    <t>7/31/2019</t>
  </si>
  <si>
    <t>7/31/2026</t>
  </si>
  <si>
    <t>7/31/2024</t>
  </si>
  <si>
    <t>8/2/2021</t>
  </si>
  <si>
    <t>8/15/1996</t>
  </si>
  <si>
    <t>8/15/2026</t>
  </si>
  <si>
    <t>8/15/2016</t>
  </si>
  <si>
    <t>8/15/2023</t>
  </si>
  <si>
    <t>8/31/2021</t>
  </si>
  <si>
    <t>8/31/2026</t>
  </si>
  <si>
    <t>9/3/2019</t>
  </si>
  <si>
    <t>9/3/2024</t>
  </si>
  <si>
    <t>9/15/2023</t>
  </si>
  <si>
    <t>9/15/2026</t>
  </si>
  <si>
    <t>9/30/2019</t>
  </si>
  <si>
    <t>9/30/2026</t>
  </si>
  <si>
    <t>9/30/2021</t>
  </si>
  <si>
    <t>9/30/2024</t>
  </si>
  <si>
    <t>10/16/2023</t>
  </si>
  <si>
    <t>10/15/2026</t>
  </si>
  <si>
    <t>10/31/2019</t>
  </si>
  <si>
    <t>10/31/2026</t>
  </si>
  <si>
    <t>10/31/2024</t>
  </si>
  <si>
    <t>11/1/2021</t>
  </si>
  <si>
    <t>11/15/1996</t>
  </si>
  <si>
    <t>11/15/2026</t>
  </si>
  <si>
    <t>11/15/2016</t>
  </si>
  <si>
    <t>11/15/2023</t>
  </si>
  <si>
    <t>11/30/2021</t>
  </si>
  <si>
    <t>11/30/2026</t>
  </si>
  <si>
    <t>12/2/2019</t>
  </si>
  <si>
    <t>12/2/2024</t>
  </si>
  <si>
    <t>12/15/2023</t>
  </si>
  <si>
    <t>12/15/2026</t>
  </si>
  <si>
    <t>12/31/2019</t>
  </si>
  <si>
    <t>12/31/2026</t>
  </si>
  <si>
    <t>12/31/2021</t>
  </si>
  <si>
    <t>12/31/2024</t>
  </si>
  <si>
    <t>1/16/2024</t>
  </si>
  <si>
    <t>1/15/2027</t>
  </si>
  <si>
    <t>1/31/2020</t>
  </si>
  <si>
    <t>1/31/2027</t>
  </si>
  <si>
    <t>1/31/2025</t>
  </si>
  <si>
    <t>2/15/2017</t>
  </si>
  <si>
    <t>2/15/2027</t>
  </si>
  <si>
    <t>2/15/2024</t>
  </si>
  <si>
    <t>2/18/1997</t>
  </si>
  <si>
    <t>2/28/2022</t>
  </si>
  <si>
    <t>2/28/2027</t>
  </si>
  <si>
    <t>3/15/2024</t>
  </si>
  <si>
    <t>3/15/2027</t>
  </si>
  <si>
    <t>3/31/2027</t>
  </si>
  <si>
    <t>3/31/2022</t>
  </si>
  <si>
    <t>4/15/2024</t>
  </si>
  <si>
    <t>4/15/2027</t>
  </si>
  <si>
    <t>4/30/2027</t>
  </si>
  <si>
    <t>5/2/2022</t>
  </si>
  <si>
    <t>5/15/2017</t>
  </si>
  <si>
    <t>5/15/2027</t>
  </si>
  <si>
    <t>5/15/2024</t>
  </si>
  <si>
    <t>5/31/2022</t>
  </si>
  <si>
    <t>5/31/2027</t>
  </si>
  <si>
    <t>6/17/2024</t>
  </si>
  <si>
    <t>6/15/2027</t>
  </si>
  <si>
    <t>6/30/2027</t>
  </si>
  <si>
    <t>6/30/2022</t>
  </si>
  <si>
    <t>7/15/2024</t>
  </si>
  <si>
    <t>7/15/2027</t>
  </si>
  <si>
    <t>7/31/2027</t>
  </si>
  <si>
    <t>8/1/2022</t>
  </si>
  <si>
    <t>8/15/1997</t>
  </si>
  <si>
    <t>8/15/2027</t>
  </si>
  <si>
    <t>8/15/2017</t>
  </si>
  <si>
    <t>8/15/2024</t>
  </si>
  <si>
    <t>8/31/2027</t>
  </si>
  <si>
    <t>8/31/2022</t>
  </si>
  <si>
    <t>9/16/2024</t>
  </si>
  <si>
    <t>9/15/2027</t>
  </si>
  <si>
    <t>9/30/2027</t>
  </si>
  <si>
    <t>9/30/2022</t>
  </si>
  <si>
    <t>10/15/2024</t>
  </si>
  <si>
    <t>10/15/2027</t>
  </si>
  <si>
    <t>10/31/2022</t>
  </si>
  <si>
    <t>10/31/2027</t>
  </si>
  <si>
    <t>11/15/2017</t>
  </si>
  <si>
    <t>11/15/2027</t>
  </si>
  <si>
    <t>11/15/2024</t>
  </si>
  <si>
    <t>11/17/1997</t>
  </si>
  <si>
    <t>11/30/2027</t>
  </si>
  <si>
    <t>11/30/2022</t>
  </si>
  <si>
    <t>12/16/2024</t>
  </si>
  <si>
    <t>12/15/2027</t>
  </si>
  <si>
    <t>1/3/2023</t>
  </si>
  <si>
    <t>12/31/2027</t>
  </si>
  <si>
    <t>1/15/2025</t>
  </si>
  <si>
    <t>1/15/2028</t>
  </si>
  <si>
    <t>1/31/2023</t>
  </si>
  <si>
    <t>1/31/2028</t>
  </si>
  <si>
    <t>2/15/2018</t>
  </si>
  <si>
    <t>2/15/2028</t>
  </si>
  <si>
    <t>2/18/2025</t>
  </si>
  <si>
    <t>2/29/2028</t>
  </si>
  <si>
    <t>3/31/2028</t>
  </si>
  <si>
    <t>4/30/2028</t>
  </si>
  <si>
    <t>5/15/2018</t>
  </si>
  <si>
    <t>5/15/2028</t>
  </si>
  <si>
    <t>5/31/2028</t>
  </si>
  <si>
    <t>6/30/2028</t>
  </si>
  <si>
    <t>7/31/2028</t>
  </si>
  <si>
    <t>8/15/2018</t>
  </si>
  <si>
    <t>8/15/2028</t>
  </si>
  <si>
    <t>8/17/1998</t>
  </si>
  <si>
    <t>8/31/2028</t>
  </si>
  <si>
    <t>9/30/2028</t>
  </si>
  <si>
    <t>10/31/2028</t>
  </si>
  <si>
    <t>11/15/2018</t>
  </si>
  <si>
    <t>11/15/2028</t>
  </si>
  <si>
    <t>11/16/1998</t>
  </si>
  <si>
    <t>11/30/2028</t>
  </si>
  <si>
    <t>12/31/2028</t>
  </si>
  <si>
    <t>1/31/2022</t>
  </si>
  <si>
    <t>1/31/2029</t>
  </si>
  <si>
    <t>2/15/2019</t>
  </si>
  <si>
    <t>2/15/2029</t>
  </si>
  <si>
    <t>2/16/1999</t>
  </si>
  <si>
    <t>2/28/2029</t>
  </si>
  <si>
    <t>3/31/2029</t>
  </si>
  <si>
    <t>4/30/2029</t>
  </si>
  <si>
    <t>5/15/2019</t>
  </si>
  <si>
    <t>5/15/2029</t>
  </si>
  <si>
    <t>5/31/2029</t>
  </si>
  <si>
    <t>6/30/2029</t>
  </si>
  <si>
    <t>7/31/2029</t>
  </si>
  <si>
    <t>8/15/2019</t>
  </si>
  <si>
    <t>8/15/2029</t>
  </si>
  <si>
    <t>8/16/1999</t>
  </si>
  <si>
    <t>8/31/2029</t>
  </si>
  <si>
    <t>9/30/2029</t>
  </si>
  <si>
    <t>10/31/2029</t>
  </si>
  <si>
    <t>11/15/2019</t>
  </si>
  <si>
    <t>11/15/2029</t>
  </si>
  <si>
    <t>11/30/2029</t>
  </si>
  <si>
    <t>12/31/2029</t>
  </si>
  <si>
    <t>1/31/2030</t>
  </si>
  <si>
    <t>2/18/2020</t>
  </si>
  <si>
    <t>2/15/2030</t>
  </si>
  <si>
    <t>2/28/2030</t>
  </si>
  <si>
    <t>3/31/2030</t>
  </si>
  <si>
    <t>4/30/2030</t>
  </si>
  <si>
    <t>2/15/2000</t>
  </si>
  <si>
    <t>5/15/2030</t>
  </si>
  <si>
    <t>5/15/2020</t>
  </si>
  <si>
    <t>5/31/2030</t>
  </si>
  <si>
    <t>6/30/2030</t>
  </si>
  <si>
    <t>7/31/2030</t>
  </si>
  <si>
    <t>8/17/2020</t>
  </si>
  <si>
    <t>8/15/2030</t>
  </si>
  <si>
    <t>8/31/2030</t>
  </si>
  <si>
    <t>9/30/2030</t>
  </si>
  <si>
    <t>10/31/2030</t>
  </si>
  <si>
    <t>11/16/2020</t>
  </si>
  <si>
    <t>11/15/2030</t>
  </si>
  <si>
    <t>11/30/2030</t>
  </si>
  <si>
    <t>12/31/2030</t>
  </si>
  <si>
    <t>1/31/2031</t>
  </si>
  <si>
    <t>2/15/2001</t>
  </si>
  <si>
    <t>2/15/2031</t>
  </si>
  <si>
    <t>2/16/2021</t>
  </si>
  <si>
    <t>2/28/2031</t>
  </si>
  <si>
    <t>3/31/2031</t>
  </si>
  <si>
    <t>4/30/2031</t>
  </si>
  <si>
    <t>5/17/2021</t>
  </si>
  <si>
    <t>5/15/2031</t>
  </si>
  <si>
    <t>5/31/2031</t>
  </si>
  <si>
    <t>6/30/2031</t>
  </si>
  <si>
    <t>7/31/2031</t>
  </si>
  <si>
    <t>8/16/2021</t>
  </si>
  <si>
    <t>8/15/2031</t>
  </si>
  <si>
    <t>8/31/2031</t>
  </si>
  <si>
    <t>9/30/2031</t>
  </si>
  <si>
    <t>10/31/2031</t>
  </si>
  <si>
    <t>11/15/2021</t>
  </si>
  <si>
    <t>11/15/2031</t>
  </si>
  <si>
    <t>11/30/2031</t>
  </si>
  <si>
    <t>12/31/2031</t>
  </si>
  <si>
    <t>1/31/2032</t>
  </si>
  <si>
    <t>2/15/2022</t>
  </si>
  <si>
    <t>2/15/2032</t>
  </si>
  <si>
    <t>5/15/2032</t>
  </si>
  <si>
    <t>8/15/2032</t>
  </si>
  <si>
    <t>11/15/2032</t>
  </si>
  <si>
    <t>2/15/2033</t>
  </si>
  <si>
    <t>5/15/2033</t>
  </si>
  <si>
    <t>8/15/2033</t>
  </si>
  <si>
    <t>11/15/2033</t>
  </si>
  <si>
    <t>2/15/2034</t>
  </si>
  <si>
    <t>5/15/2034</t>
  </si>
  <si>
    <t>8/15/2034</t>
  </si>
  <si>
    <t>11/15/2034</t>
  </si>
  <si>
    <t>2/15/2035</t>
  </si>
  <si>
    <t>2/15/2006</t>
  </si>
  <si>
    <t>2/15/2036</t>
  </si>
  <si>
    <t>2/15/2007</t>
  </si>
  <si>
    <t>2/15/2037</t>
  </si>
  <si>
    <t>8/15/2007</t>
  </si>
  <si>
    <t>5/15/2037</t>
  </si>
  <si>
    <t>2/15/2008</t>
  </si>
  <si>
    <t>2/15/2038</t>
  </si>
  <si>
    <t>8/15/2008</t>
  </si>
  <si>
    <t>5/15/2038</t>
  </si>
  <si>
    <t>2/17/2009</t>
  </si>
  <si>
    <t>2/15/2039</t>
  </si>
  <si>
    <t>5/15/2009</t>
  </si>
  <si>
    <t>5/15/2039</t>
  </si>
  <si>
    <t>8/17/2009</t>
  </si>
  <si>
    <t>8/15/2039</t>
  </si>
  <si>
    <t>11/16/2009</t>
  </si>
  <si>
    <t>11/15/2039</t>
  </si>
  <si>
    <t>2/16/2010</t>
  </si>
  <si>
    <t>2/15/2040</t>
  </si>
  <si>
    <t>5/17/2010</t>
  </si>
  <si>
    <t>5/15/2040</t>
  </si>
  <si>
    <t>8/16/2010</t>
  </si>
  <si>
    <t>8/15/2040</t>
  </si>
  <si>
    <t>11/15/2010</t>
  </si>
  <si>
    <t>11/15/2040</t>
  </si>
  <si>
    <t>2/15/2011</t>
  </si>
  <si>
    <t>2/15/2041</t>
  </si>
  <si>
    <t>5/16/2011</t>
  </si>
  <si>
    <t>5/15/2041</t>
  </si>
  <si>
    <t>8/15/2011</t>
  </si>
  <si>
    <t>8/15/2041</t>
  </si>
  <si>
    <t>11/15/2011</t>
  </si>
  <si>
    <t>11/15/2041</t>
  </si>
  <si>
    <t>2/15/2012</t>
  </si>
  <si>
    <t>2/15/2042</t>
  </si>
  <si>
    <t>5/15/2012</t>
  </si>
  <si>
    <t>5/15/2042</t>
  </si>
  <si>
    <t>8/15/2012</t>
  </si>
  <si>
    <t>8/15/2042</t>
  </si>
  <si>
    <t>11/15/2012</t>
  </si>
  <si>
    <t>11/15/2042</t>
  </si>
  <si>
    <t>2/15/2013</t>
  </si>
  <si>
    <t>2/15/2043</t>
  </si>
  <si>
    <t>5/15/2013</t>
  </si>
  <si>
    <t>5/15/2043</t>
  </si>
  <si>
    <t>8/15/2013</t>
  </si>
  <si>
    <t>8/15/2043</t>
  </si>
  <si>
    <t>11/15/2013</t>
  </si>
  <si>
    <t>11/15/2043</t>
  </si>
  <si>
    <t>2/18/2014</t>
  </si>
  <si>
    <t>2/15/2044</t>
  </si>
  <si>
    <t>5/15/2014</t>
  </si>
  <si>
    <t>5/15/2044</t>
  </si>
  <si>
    <t>8/15/2014</t>
  </si>
  <si>
    <t>8/15/2044</t>
  </si>
  <si>
    <t>11/17/2014</t>
  </si>
  <si>
    <t>11/15/2044</t>
  </si>
  <si>
    <t>2/17/2015</t>
  </si>
  <si>
    <t>2/15/2045</t>
  </si>
  <si>
    <t>5/15/2045</t>
  </si>
  <si>
    <t>8/15/2045</t>
  </si>
  <si>
    <t>11/15/2045</t>
  </si>
  <si>
    <t>2/15/2046</t>
  </si>
  <si>
    <t>5/15/2046</t>
  </si>
  <si>
    <t>8/15/2046</t>
  </si>
  <si>
    <t>11/15/2046</t>
  </si>
  <si>
    <t>2/15/2047</t>
  </si>
  <si>
    <t>5/15/2047</t>
  </si>
  <si>
    <t>8/15/2047</t>
  </si>
  <si>
    <t>11/15/2047</t>
  </si>
  <si>
    <t>2/15/2048</t>
  </si>
  <si>
    <t>5/15/2048</t>
  </si>
  <si>
    <t>8/15/2048</t>
  </si>
  <si>
    <t>11/15/2048</t>
  </si>
  <si>
    <t>2/15/2049</t>
  </si>
  <si>
    <t>5/15/2049</t>
  </si>
  <si>
    <t>8/15/2049</t>
  </si>
  <si>
    <t>11/15/2049</t>
  </si>
  <si>
    <t>2/15/2050</t>
  </si>
  <si>
    <t>5/15/2050</t>
  </si>
  <si>
    <t>8/15/2050</t>
  </si>
  <si>
    <t>11/15/2050</t>
  </si>
  <si>
    <t>2/15/2051</t>
  </si>
  <si>
    <t>5/15/2051</t>
  </si>
  <si>
    <t>8/15/2051</t>
  </si>
  <si>
    <t>11/15/2051</t>
  </si>
  <si>
    <t>2/15/2052</t>
  </si>
  <si>
    <t>5/15/2052</t>
  </si>
  <si>
    <t>8/15/2052</t>
  </si>
  <si>
    <t>11/15/2052</t>
  </si>
  <si>
    <t>2/15/2053</t>
  </si>
  <si>
    <t>5/15/2053</t>
  </si>
  <si>
    <t>8/15/2053</t>
  </si>
  <si>
    <t>11/15/2053</t>
  </si>
  <si>
    <t>2/15/2054</t>
  </si>
  <si>
    <t>5/15/2054</t>
  </si>
  <si>
    <t>8/15/2054</t>
  </si>
  <si>
    <t>11/15/2054</t>
  </si>
  <si>
    <t>2/15/2055</t>
  </si>
  <si>
    <t>Parameters</t>
  </si>
  <si>
    <t>Value</t>
  </si>
  <si>
    <t>a</t>
  </si>
  <si>
    <t>b</t>
  </si>
  <si>
    <t>c</t>
  </si>
  <si>
    <t>d</t>
  </si>
  <si>
    <t>f</t>
  </si>
  <si>
    <t>g</t>
  </si>
  <si>
    <t>h</t>
  </si>
  <si>
    <t>Valuation Date</t>
  </si>
  <si>
    <t>r(t)</t>
  </si>
  <si>
    <t>Summary</t>
  </si>
  <si>
    <t>SRCH Results</t>
  </si>
  <si>
    <t>Number of securities: 347</t>
  </si>
  <si>
    <t>Currency: USD</t>
  </si>
  <si>
    <t>Created by  NEEL SHAH ( NEW YORK UNIVERSITY ABU DHABI )  on  02/24/2025 21:03:45 GMT-0500 (EST)</t>
  </si>
  <si>
    <t>SRCH Criteria</t>
  </si>
  <si>
    <t>Asset Classes: Corporates, Governments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</si>
  <si>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</si>
  <si>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</si>
  <si>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</si>
  <si>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</si>
  <si>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</si>
  <si>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</si>
  <si>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United States Treasury Note/Bond ( T ) ( current and subs )</t>
  </si>
  <si>
    <t>Country/Region of Risk</t>
  </si>
  <si>
    <t>United States of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</si>
</sst>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0.00000"/>
    <numFmt numFmtId="166" formatCode="&quot;$&quot;#,##0.00"/>
    <numFmt numFmtId="167" formatCode="m/d/yyyy"/>
    <numFmt numFmtId="168" formatCode="mm/dd/yyyy"/>
  </numFmts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AC090"/>
        <bgColor rgb="FFFAC09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0" fillId="2" fontId="2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1" fillId="2" fontId="1" numFmtId="0" xfId="0" applyBorder="1" applyFont="1"/>
    <xf borderId="0" fillId="0" fontId="5" numFmtId="0" xfId="0" applyAlignment="1" applyFont="1">
      <alignment horizontal="center"/>
    </xf>
    <xf borderId="2" fillId="2" fontId="1" numFmtId="0" xfId="0" applyBorder="1" applyFont="1"/>
    <xf borderId="3" fillId="0" fontId="6" numFmtId="0" xfId="0" applyBorder="1" applyFont="1"/>
    <xf borderId="4" fillId="0" fontId="6" numFmtId="0" xfId="0" applyBorder="1" applyFont="1"/>
    <xf borderId="2" fillId="3" fontId="5" numFmtId="0" xfId="0" applyBorder="1" applyFill="1" applyFont="1"/>
    <xf borderId="0" fillId="0" fontId="4" numFmtId="0" xfId="0" applyAlignment="1" applyFont="1">
      <alignment shrinkToFit="0" wrapText="1"/>
    </xf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3" width="10.71"/>
    <col customWidth="1" min="4" max="5" width="12.0"/>
    <col customWidth="1" min="6" max="6" width="6.0"/>
    <col customWidth="1" min="7" max="7" width="9.14"/>
    <col customWidth="1" min="8" max="8" width="11.14"/>
    <col customWidth="1" min="9" max="9" width="16.43"/>
    <col customWidth="1" min="10" max="10" width="16.86"/>
    <col customWidth="1" min="11" max="11" width="17.43"/>
    <col customWidth="1" min="12" max="12" width="20.29"/>
    <col customWidth="1" min="13" max="13" width="20.71"/>
    <col customWidth="1" min="14" max="14" width="17.86"/>
    <col customWidth="1" min="15" max="15" width="16.57"/>
    <col customWidth="1" min="16" max="27" width="8.86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 t="s">
        <v>15</v>
      </c>
      <c r="B2" s="7" t="s">
        <v>16</v>
      </c>
      <c r="C2" s="8" t="s">
        <v>17</v>
      </c>
      <c r="D2" s="6">
        <v>99.98046875</v>
      </c>
      <c r="E2" s="6">
        <v>100.0078125</v>
      </c>
      <c r="F2" s="6">
        <v>2.75</v>
      </c>
      <c r="G2" s="6" t="s">
        <v>18</v>
      </c>
      <c r="H2" s="9">
        <f t="shared" ref="H2:H348" si="1">(D2+E2)/2</f>
        <v>99.99414063</v>
      </c>
      <c r="I2" s="6">
        <f>DAYS(C2,Context!$C$19)</f>
        <v>4</v>
      </c>
      <c r="J2" s="10">
        <f>ACCRINT(L2,K2,Context!$C$19,F2/100,100,2,1)</f>
        <v>1.345108696</v>
      </c>
      <c r="K2" s="11">
        <f>COUPNCD(Context!$C$19,C2,2,1)</f>
        <v>45716</v>
      </c>
      <c r="L2" s="11">
        <f>COUPPCD(Context!$C$19,C2,2,1)</f>
        <v>45532</v>
      </c>
      <c r="M2" s="9">
        <f t="shared" ref="M2:M348" si="2">H2+J2</f>
        <v>101.3392493</v>
      </c>
      <c r="N2" s="6">
        <f>(C2-Context!$C$19)/365.25</f>
        <v>0.01095140315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15</v>
      </c>
      <c r="B3" s="7" t="s">
        <v>19</v>
      </c>
      <c r="C3" s="8" t="s">
        <v>17</v>
      </c>
      <c r="D3" s="6">
        <v>99.984375</v>
      </c>
      <c r="E3" s="6">
        <v>100.01953125</v>
      </c>
      <c r="F3" s="6">
        <v>4.625</v>
      </c>
      <c r="G3" s="6" t="s">
        <v>18</v>
      </c>
      <c r="H3" s="9">
        <f t="shared" si="1"/>
        <v>100.0019531</v>
      </c>
      <c r="I3" s="6">
        <f>DAYS(C3,Context!$C$19)</f>
        <v>4</v>
      </c>
      <c r="J3" s="10">
        <f>ACCRINT(L3,K3,Context!$C$19,F3/100,100,2,1)</f>
        <v>2.262228261</v>
      </c>
      <c r="K3" s="11">
        <f>COUPNCD(Context!$C$19,C3,2,1)</f>
        <v>45716</v>
      </c>
      <c r="L3" s="11">
        <f>COUPPCD(Context!$C$19,C3,2,1)</f>
        <v>45532</v>
      </c>
      <c r="M3" s="9">
        <f t="shared" si="2"/>
        <v>102.2641814</v>
      </c>
      <c r="N3" s="6">
        <f>(C3-Context!$C$19)/365.25</f>
        <v>0.01095140315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15</v>
      </c>
      <c r="B4" s="7" t="s">
        <v>20</v>
      </c>
      <c r="C4" s="8" t="s">
        <v>17</v>
      </c>
      <c r="D4" s="6">
        <v>99.9453125</v>
      </c>
      <c r="E4" s="6">
        <v>100.01171875</v>
      </c>
      <c r="F4" s="6">
        <v>1.125</v>
      </c>
      <c r="G4" s="6" t="s">
        <v>18</v>
      </c>
      <c r="H4" s="9">
        <f t="shared" si="1"/>
        <v>99.97851563</v>
      </c>
      <c r="I4" s="6">
        <f>DAYS(C4,Context!$C$19)</f>
        <v>4</v>
      </c>
      <c r="J4" s="10">
        <f>ACCRINT(L4,K4,Context!$C$19,F4/100,100,2,1)</f>
        <v>0.5502717391</v>
      </c>
      <c r="K4" s="11">
        <f>COUPNCD(Context!$C$19,C4,2,1)</f>
        <v>45716</v>
      </c>
      <c r="L4" s="11">
        <f>COUPPCD(Context!$C$19,C4,2,1)</f>
        <v>45532</v>
      </c>
      <c r="M4" s="9">
        <f t="shared" si="2"/>
        <v>100.5287874</v>
      </c>
      <c r="N4" s="6">
        <f>(C4-Context!$C$19)/365.25</f>
        <v>0.01095140315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15</v>
      </c>
      <c r="B5" s="7" t="s">
        <v>21</v>
      </c>
      <c r="C5" s="8" t="s">
        <v>22</v>
      </c>
      <c r="D5" s="6">
        <v>99.859375</v>
      </c>
      <c r="E5" s="6">
        <v>99.9140625</v>
      </c>
      <c r="F5" s="6">
        <v>1.75</v>
      </c>
      <c r="G5" s="6" t="s">
        <v>18</v>
      </c>
      <c r="H5" s="9">
        <f t="shared" si="1"/>
        <v>99.88671875</v>
      </c>
      <c r="I5" s="6">
        <f>DAYS(C5,Context!$C$19)</f>
        <v>19</v>
      </c>
      <c r="J5" s="10">
        <f>ACCRINT(L5,K5,Context!$C$19,F5/100,100,2,1)</f>
        <v>0.7831491713</v>
      </c>
      <c r="K5" s="11">
        <f>COUPNCD(Context!$C$19,C5,2,1)</f>
        <v>45731</v>
      </c>
      <c r="L5" s="11">
        <f>COUPPCD(Context!$C$19,C5,2,1)</f>
        <v>45550</v>
      </c>
      <c r="M5" s="9">
        <f t="shared" si="2"/>
        <v>100.6698679</v>
      </c>
      <c r="N5" s="6">
        <f>(C5-Context!$C$19)/365.25</f>
        <v>0.05201916496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15</v>
      </c>
      <c r="B6" s="7" t="s">
        <v>23</v>
      </c>
      <c r="C6" s="8" t="s">
        <v>24</v>
      </c>
      <c r="D6" s="6">
        <v>99.62109375</v>
      </c>
      <c r="E6" s="6">
        <v>99.703125</v>
      </c>
      <c r="F6" s="6">
        <v>0.5</v>
      </c>
      <c r="G6" s="6" t="s">
        <v>18</v>
      </c>
      <c r="H6" s="9">
        <f t="shared" si="1"/>
        <v>99.66210938</v>
      </c>
      <c r="I6" s="6">
        <f>DAYS(C6,Context!$C$19)</f>
        <v>35</v>
      </c>
      <c r="J6" s="10">
        <f>ACCRINT(L6,K6,Context!$C$19,F6/100,100,2,1)</f>
        <v>0.2019230769</v>
      </c>
      <c r="K6" s="11">
        <f>COUPNCD(Context!$C$19,C6,2,1)</f>
        <v>45747</v>
      </c>
      <c r="L6" s="11">
        <f>COUPPCD(Context!$C$19,C6,2,1)</f>
        <v>45565</v>
      </c>
      <c r="M6" s="9">
        <f t="shared" si="2"/>
        <v>99.86403245</v>
      </c>
      <c r="N6" s="6">
        <f>(C6-Context!$C$19)/365.25</f>
        <v>0.09582477755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15</v>
      </c>
      <c r="B7" s="7" t="s">
        <v>25</v>
      </c>
      <c r="C7" s="8" t="s">
        <v>24</v>
      </c>
      <c r="D7" s="6">
        <v>99.9375</v>
      </c>
      <c r="E7" s="6">
        <v>99.9921875</v>
      </c>
      <c r="F7" s="6">
        <v>3.875</v>
      </c>
      <c r="G7" s="6" t="s">
        <v>18</v>
      </c>
      <c r="H7" s="9">
        <f t="shared" si="1"/>
        <v>99.96484375</v>
      </c>
      <c r="I7" s="6">
        <f>DAYS(C7,Context!$C$19)</f>
        <v>35</v>
      </c>
      <c r="J7" s="10">
        <f>ACCRINT(L7,K7,Context!$C$19,F7/100,100,2,1)</f>
        <v>1.564903846</v>
      </c>
      <c r="K7" s="11">
        <f>COUPNCD(Context!$C$19,C7,2,1)</f>
        <v>45747</v>
      </c>
      <c r="L7" s="11">
        <f>COUPPCD(Context!$C$19,C7,2,1)</f>
        <v>45565</v>
      </c>
      <c r="M7" s="9">
        <f t="shared" si="2"/>
        <v>101.5297476</v>
      </c>
      <c r="N7" s="6">
        <f>(C7-Context!$C$19)/365.25</f>
        <v>0.09582477755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15</v>
      </c>
      <c r="B8" s="7" t="s">
        <v>26</v>
      </c>
      <c r="C8" s="8" t="s">
        <v>24</v>
      </c>
      <c r="D8" s="6">
        <v>99.8203125</v>
      </c>
      <c r="E8" s="6">
        <v>99.88671875</v>
      </c>
      <c r="F8" s="6">
        <v>2.625</v>
      </c>
      <c r="G8" s="6" t="s">
        <v>18</v>
      </c>
      <c r="H8" s="9">
        <f t="shared" si="1"/>
        <v>99.85351563</v>
      </c>
      <c r="I8" s="6">
        <f>DAYS(C8,Context!$C$19)</f>
        <v>35</v>
      </c>
      <c r="J8" s="10">
        <f>ACCRINT(L8,K8,Context!$C$19,F8/100,100,2,1)</f>
        <v>1.060096154</v>
      </c>
      <c r="K8" s="11">
        <f>COUPNCD(Context!$C$19,C8,2,1)</f>
        <v>45747</v>
      </c>
      <c r="L8" s="11">
        <f>COUPPCD(Context!$C$19,C8,2,1)</f>
        <v>45565</v>
      </c>
      <c r="M8" s="9">
        <f t="shared" si="2"/>
        <v>100.9136118</v>
      </c>
      <c r="N8" s="6">
        <f>(C8-Context!$C$19)/365.25</f>
        <v>0.09582477755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15</v>
      </c>
      <c r="B9" s="7" t="s">
        <v>27</v>
      </c>
      <c r="C9" s="8" t="s">
        <v>28</v>
      </c>
      <c r="D9" s="6">
        <v>99.74609375</v>
      </c>
      <c r="E9" s="6">
        <v>99.8359375</v>
      </c>
      <c r="F9" s="6">
        <v>2.625</v>
      </c>
      <c r="G9" s="6" t="s">
        <v>18</v>
      </c>
      <c r="H9" s="9">
        <f t="shared" si="1"/>
        <v>99.79101563</v>
      </c>
      <c r="I9" s="6">
        <f>DAYS(C9,Context!$C$19)</f>
        <v>50</v>
      </c>
      <c r="J9" s="10">
        <f>ACCRINT(L9,K9,Context!$C$19,F9/100,100,2,1)</f>
        <v>0.9519230769</v>
      </c>
      <c r="K9" s="11">
        <f>COUPNCD(Context!$C$19,C9,2,1)</f>
        <v>45762</v>
      </c>
      <c r="L9" s="11">
        <f>COUPPCD(Context!$C$19,C9,2,1)</f>
        <v>45580</v>
      </c>
      <c r="M9" s="9">
        <f t="shared" si="2"/>
        <v>100.7429387</v>
      </c>
      <c r="N9" s="6">
        <f>(C9-Context!$C$19)/365.25</f>
        <v>0.1368925394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15</v>
      </c>
      <c r="B10" s="7" t="s">
        <v>29</v>
      </c>
      <c r="C10" s="8" t="s">
        <v>30</v>
      </c>
      <c r="D10" s="6">
        <v>99.73046875</v>
      </c>
      <c r="E10" s="6">
        <v>99.79296875</v>
      </c>
      <c r="F10" s="6">
        <v>2.875</v>
      </c>
      <c r="G10" s="6" t="s">
        <v>18</v>
      </c>
      <c r="H10" s="9">
        <f t="shared" si="1"/>
        <v>99.76171875</v>
      </c>
      <c r="I10" s="6">
        <f>DAYS(C10,Context!$C$19)</f>
        <v>65</v>
      </c>
      <c r="J10" s="10">
        <f>ACCRINT(L10,K10,Context!$C$19,F10/100,100,2,1)</f>
        <v>0.9241071429</v>
      </c>
      <c r="K10" s="11">
        <f>COUPNCD(Context!$C$19,C10,2,1)</f>
        <v>45777</v>
      </c>
      <c r="L10" s="11">
        <f>COUPPCD(Context!$C$19,C10,2,1)</f>
        <v>45595</v>
      </c>
      <c r="M10" s="9">
        <f t="shared" si="2"/>
        <v>100.6858259</v>
      </c>
      <c r="N10" s="6">
        <f>(C10-Context!$C$19)/365.25</f>
        <v>0.1779603012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15</v>
      </c>
      <c r="B11" s="7" t="s">
        <v>31</v>
      </c>
      <c r="C11" s="8" t="s">
        <v>30</v>
      </c>
      <c r="D11" s="6">
        <v>99.2734375</v>
      </c>
      <c r="E11" s="6">
        <v>99.3671875</v>
      </c>
      <c r="F11" s="6">
        <v>0.375</v>
      </c>
      <c r="G11" s="6" t="s">
        <v>18</v>
      </c>
      <c r="H11" s="9">
        <f t="shared" si="1"/>
        <v>99.3203125</v>
      </c>
      <c r="I11" s="6">
        <f>DAYS(C11,Context!$C$19)</f>
        <v>65</v>
      </c>
      <c r="J11" s="10">
        <f>ACCRINT(L11,K11,Context!$C$19,F11/100,100,2,1)</f>
        <v>0.1205357143</v>
      </c>
      <c r="K11" s="11">
        <f>COUPNCD(Context!$C$19,C11,2,1)</f>
        <v>45777</v>
      </c>
      <c r="L11" s="11">
        <f>COUPPCD(Context!$C$19,C11,2,1)</f>
        <v>45595</v>
      </c>
      <c r="M11" s="9">
        <f t="shared" si="2"/>
        <v>99.44084821</v>
      </c>
      <c r="N11" s="6">
        <f>(C11-Context!$C$19)/365.25</f>
        <v>0.1779603012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15</v>
      </c>
      <c r="B12" s="7" t="s">
        <v>32</v>
      </c>
      <c r="C12" s="8" t="s">
        <v>30</v>
      </c>
      <c r="D12" s="6">
        <v>99.90625</v>
      </c>
      <c r="E12" s="6">
        <v>99.9453125</v>
      </c>
      <c r="F12" s="6">
        <v>3.875</v>
      </c>
      <c r="G12" s="6" t="s">
        <v>18</v>
      </c>
      <c r="H12" s="9">
        <f t="shared" si="1"/>
        <v>99.92578125</v>
      </c>
      <c r="I12" s="6">
        <f>DAYS(C12,Context!$C$19)</f>
        <v>65</v>
      </c>
      <c r="J12" s="10">
        <f>ACCRINT(L12,K12,Context!$C$19,F12/100,100,2,1)</f>
        <v>1.245535714</v>
      </c>
      <c r="K12" s="11">
        <f>COUPNCD(Context!$C$19,C12,2,1)</f>
        <v>45777</v>
      </c>
      <c r="L12" s="11">
        <f>COUPPCD(Context!$C$19,C12,2,1)</f>
        <v>45595</v>
      </c>
      <c r="M12" s="9">
        <f t="shared" si="2"/>
        <v>101.171317</v>
      </c>
      <c r="N12" s="6">
        <f>(C12-Context!$C$19)/365.25</f>
        <v>0.1779603012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15</v>
      </c>
      <c r="B13" s="7" t="s">
        <v>33</v>
      </c>
      <c r="C13" s="8" t="s">
        <v>34</v>
      </c>
      <c r="D13" s="6">
        <v>99.515625</v>
      </c>
      <c r="E13" s="6">
        <v>99.58203125</v>
      </c>
      <c r="F13" s="6">
        <v>2.125</v>
      </c>
      <c r="G13" s="6" t="s">
        <v>18</v>
      </c>
      <c r="H13" s="9">
        <f t="shared" si="1"/>
        <v>99.54882813</v>
      </c>
      <c r="I13" s="6">
        <f>DAYS(C13,Context!$C$19)</f>
        <v>80</v>
      </c>
      <c r="J13" s="10">
        <f>ACCRINT(L13,K13,Context!$C$19,F13/100,100,2,1)</f>
        <v>0.5928867403</v>
      </c>
      <c r="K13" s="11">
        <f>COUPNCD(Context!$C$19,C13,2,1)</f>
        <v>45792</v>
      </c>
      <c r="L13" s="11">
        <f>COUPPCD(Context!$C$19,C13,2,1)</f>
        <v>45611</v>
      </c>
      <c r="M13" s="9">
        <f t="shared" si="2"/>
        <v>100.1417149</v>
      </c>
      <c r="N13" s="6">
        <f>(C13-Context!$C$19)/365.25</f>
        <v>0.219028063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15</v>
      </c>
      <c r="B14" s="7" t="s">
        <v>35</v>
      </c>
      <c r="C14" s="8" t="s">
        <v>34</v>
      </c>
      <c r="D14" s="6">
        <v>99.65625</v>
      </c>
      <c r="E14" s="6">
        <v>99.7109375</v>
      </c>
      <c r="F14" s="6">
        <v>2.75</v>
      </c>
      <c r="G14" s="6" t="s">
        <v>18</v>
      </c>
      <c r="H14" s="9">
        <f t="shared" si="1"/>
        <v>99.68359375</v>
      </c>
      <c r="I14" s="6">
        <f>DAYS(C14,Context!$C$19)</f>
        <v>80</v>
      </c>
      <c r="J14" s="10">
        <f>ACCRINT(L14,K14,Context!$C$19,F14/100,100,2,1)</f>
        <v>0.7672651934</v>
      </c>
      <c r="K14" s="11">
        <f>COUPNCD(Context!$C$19,C14,2,1)</f>
        <v>45792</v>
      </c>
      <c r="L14" s="11">
        <f>COUPPCD(Context!$C$19,C14,2,1)</f>
        <v>45611</v>
      </c>
      <c r="M14" s="9">
        <f t="shared" si="2"/>
        <v>100.4508589</v>
      </c>
      <c r="N14" s="6">
        <f>(C14-Context!$C$19)/365.25</f>
        <v>0.219028063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15</v>
      </c>
      <c r="B15" s="7" t="s">
        <v>36</v>
      </c>
      <c r="C15" s="8" t="s">
        <v>37</v>
      </c>
      <c r="D15" s="6">
        <v>99.59375</v>
      </c>
      <c r="E15" s="6">
        <v>99.6640625</v>
      </c>
      <c r="F15" s="6">
        <v>2.875</v>
      </c>
      <c r="G15" s="6" t="s">
        <v>18</v>
      </c>
      <c r="H15" s="9">
        <f t="shared" si="1"/>
        <v>99.62890625</v>
      </c>
      <c r="I15" s="6">
        <f>DAYS(C15,Context!$C$19)</f>
        <v>96</v>
      </c>
      <c r="J15" s="10">
        <f>ACCRINT(L15,K15,Context!$C$19,F15/100,100,2,1)</f>
        <v>0.6792582418</v>
      </c>
      <c r="K15" s="11">
        <f>COUPNCD(Context!$C$19,C15,2,1)</f>
        <v>45808</v>
      </c>
      <c r="L15" s="11">
        <f>COUPPCD(Context!$C$19,C15,2,1)</f>
        <v>45626</v>
      </c>
      <c r="M15" s="9">
        <f t="shared" si="2"/>
        <v>100.3081645</v>
      </c>
      <c r="N15" s="6">
        <f>(C15-Context!$C$19)/365.25</f>
        <v>0.2628336756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15</v>
      </c>
      <c r="B16" s="7" t="s">
        <v>38</v>
      </c>
      <c r="C16" s="8" t="s">
        <v>37</v>
      </c>
      <c r="D16" s="6">
        <v>99.9609375</v>
      </c>
      <c r="E16" s="6">
        <v>100.00390625</v>
      </c>
      <c r="F16" s="6">
        <v>4.25</v>
      </c>
      <c r="G16" s="6" t="s">
        <v>18</v>
      </c>
      <c r="H16" s="9">
        <f t="shared" si="1"/>
        <v>99.98242188</v>
      </c>
      <c r="I16" s="6">
        <f>DAYS(C16,Context!$C$19)</f>
        <v>96</v>
      </c>
      <c r="J16" s="10">
        <f>ACCRINT(L16,K16,Context!$C$19,F16/100,100,2,1)</f>
        <v>1.004120879</v>
      </c>
      <c r="K16" s="11">
        <f>COUPNCD(Context!$C$19,C16,2,1)</f>
        <v>45808</v>
      </c>
      <c r="L16" s="11">
        <f>COUPPCD(Context!$C$19,C16,2,1)</f>
        <v>45626</v>
      </c>
      <c r="M16" s="9">
        <f t="shared" si="2"/>
        <v>100.9865428</v>
      </c>
      <c r="N16" s="6">
        <f>(C16-Context!$C$19)/365.25</f>
        <v>0.2628336756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15</v>
      </c>
      <c r="B17" s="7" t="s">
        <v>39</v>
      </c>
      <c r="C17" s="8" t="s">
        <v>37</v>
      </c>
      <c r="D17" s="6">
        <v>98.91796875</v>
      </c>
      <c r="E17" s="6">
        <v>99.0078125</v>
      </c>
      <c r="F17" s="6">
        <v>0.25</v>
      </c>
      <c r="G17" s="6" t="s">
        <v>18</v>
      </c>
      <c r="H17" s="9">
        <f t="shared" si="1"/>
        <v>98.96289063</v>
      </c>
      <c r="I17" s="6">
        <f>DAYS(C17,Context!$C$19)</f>
        <v>96</v>
      </c>
      <c r="J17" s="10">
        <f>ACCRINT(L17,K17,Context!$C$19,F17/100,100,2,1)</f>
        <v>0.05906593407</v>
      </c>
      <c r="K17" s="11">
        <f>COUPNCD(Context!$C$19,C17,2,1)</f>
        <v>45808</v>
      </c>
      <c r="L17" s="11">
        <f>COUPPCD(Context!$C$19,C17,2,1)</f>
        <v>45626</v>
      </c>
      <c r="M17" s="9">
        <f t="shared" si="2"/>
        <v>99.02195656</v>
      </c>
      <c r="N17" s="6">
        <f>(C17-Context!$C$19)/365.25</f>
        <v>0.2628336756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15</v>
      </c>
      <c r="B18" s="7" t="s">
        <v>40</v>
      </c>
      <c r="C18" s="8" t="s">
        <v>41</v>
      </c>
      <c r="D18" s="6">
        <v>99.54296875</v>
      </c>
      <c r="E18" s="6">
        <v>99.60546875</v>
      </c>
      <c r="F18" s="6">
        <v>2.875</v>
      </c>
      <c r="G18" s="6" t="s">
        <v>18</v>
      </c>
      <c r="H18" s="9">
        <f t="shared" si="1"/>
        <v>99.57421875</v>
      </c>
      <c r="I18" s="6">
        <f>DAYS(C18,Context!$C$19)</f>
        <v>111</v>
      </c>
      <c r="J18" s="10">
        <f>ACCRINT(L18,K18,Context!$C$19,F18/100,100,2,1)</f>
        <v>0.560782967</v>
      </c>
      <c r="K18" s="11">
        <f>COUPNCD(Context!$C$19,C18,2,1)</f>
        <v>45823</v>
      </c>
      <c r="L18" s="11">
        <f>COUPPCD(Context!$C$19,C18,2,1)</f>
        <v>45641</v>
      </c>
      <c r="M18" s="9">
        <f t="shared" si="2"/>
        <v>100.1350017</v>
      </c>
      <c r="N18" s="6">
        <f>(C18-Context!$C$19)/365.25</f>
        <v>0.3039014374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15</v>
      </c>
      <c r="B19" s="7" t="s">
        <v>42</v>
      </c>
      <c r="C19" s="8" t="s">
        <v>43</v>
      </c>
      <c r="D19" s="6">
        <v>98.6328125</v>
      </c>
      <c r="E19" s="6">
        <v>98.6875</v>
      </c>
      <c r="F19" s="6">
        <v>0.25</v>
      </c>
      <c r="G19" s="6" t="s">
        <v>18</v>
      </c>
      <c r="H19" s="9">
        <f t="shared" si="1"/>
        <v>98.66015625</v>
      </c>
      <c r="I19" s="6">
        <f>DAYS(C19,Context!$C$19)</f>
        <v>126</v>
      </c>
      <c r="J19" s="10">
        <f>ACCRINT(L19,K19,Context!$C$19,F19/100,100,2,1)</f>
        <v>0.03846153846</v>
      </c>
      <c r="K19" s="11">
        <f>COUPNCD(Context!$C$19,C19,2,1)</f>
        <v>45838</v>
      </c>
      <c r="L19" s="11">
        <f>COUPPCD(Context!$C$19,C19,2,1)</f>
        <v>45656</v>
      </c>
      <c r="M19" s="9">
        <f t="shared" si="2"/>
        <v>98.69861779</v>
      </c>
      <c r="N19" s="6">
        <f>(C19-Context!$C$19)/365.25</f>
        <v>0.3449691992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15</v>
      </c>
      <c r="B20" s="7" t="s">
        <v>44</v>
      </c>
      <c r="C20" s="8" t="s">
        <v>43</v>
      </c>
      <c r="D20" s="6">
        <v>100.08984375</v>
      </c>
      <c r="E20" s="6">
        <v>100.140625</v>
      </c>
      <c r="F20" s="6">
        <v>4.625</v>
      </c>
      <c r="G20" s="6" t="s">
        <v>18</v>
      </c>
      <c r="H20" s="9">
        <f t="shared" si="1"/>
        <v>100.1152344</v>
      </c>
      <c r="I20" s="6">
        <f>DAYS(C20,Context!$C$19)</f>
        <v>126</v>
      </c>
      <c r="J20" s="10">
        <f>ACCRINT(L20,K20,Context!$C$19,F20/100,100,2,1)</f>
        <v>0.7115384615</v>
      </c>
      <c r="K20" s="11">
        <f>COUPNCD(Context!$C$19,C20,2,1)</f>
        <v>45838</v>
      </c>
      <c r="L20" s="11">
        <f>COUPPCD(Context!$C$19,C20,2,1)</f>
        <v>45656</v>
      </c>
      <c r="M20" s="9">
        <f t="shared" si="2"/>
        <v>100.8267728</v>
      </c>
      <c r="N20" s="6">
        <f>(C20-Context!$C$19)/365.25</f>
        <v>0.3449691992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 t="s">
        <v>15</v>
      </c>
      <c r="B21" s="7" t="s">
        <v>45</v>
      </c>
      <c r="C21" s="8" t="s">
        <v>43</v>
      </c>
      <c r="D21" s="6">
        <v>99.46875</v>
      </c>
      <c r="E21" s="6">
        <v>99.51171875</v>
      </c>
      <c r="F21" s="6">
        <v>2.75</v>
      </c>
      <c r="G21" s="6" t="s">
        <v>18</v>
      </c>
      <c r="H21" s="9">
        <f t="shared" si="1"/>
        <v>99.49023438</v>
      </c>
      <c r="I21" s="6">
        <f>DAYS(C21,Context!$C$19)</f>
        <v>126</v>
      </c>
      <c r="J21" s="10">
        <f>ACCRINT(L21,K21,Context!$C$19,F21/100,100,2,1)</f>
        <v>0.4230769231</v>
      </c>
      <c r="K21" s="11">
        <f>COUPNCD(Context!$C$19,C21,2,1)</f>
        <v>45838</v>
      </c>
      <c r="L21" s="11">
        <f>COUPPCD(Context!$C$19,C21,2,1)</f>
        <v>45656</v>
      </c>
      <c r="M21" s="9">
        <f t="shared" si="2"/>
        <v>99.9133113</v>
      </c>
      <c r="N21" s="6">
        <f>(C21-Context!$C$19)/365.25</f>
        <v>0.3449691992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 t="s">
        <v>15</v>
      </c>
      <c r="B22" s="7" t="s">
        <v>46</v>
      </c>
      <c r="C22" s="8" t="s">
        <v>47</v>
      </c>
      <c r="D22" s="6">
        <v>99.4921875</v>
      </c>
      <c r="E22" s="6">
        <v>99.53125</v>
      </c>
      <c r="F22" s="6">
        <v>3.0</v>
      </c>
      <c r="G22" s="6" t="s">
        <v>18</v>
      </c>
      <c r="H22" s="9">
        <f t="shared" si="1"/>
        <v>99.51171875</v>
      </c>
      <c r="I22" s="6">
        <f>DAYS(C22,Context!$C$19)</f>
        <v>141</v>
      </c>
      <c r="J22" s="10">
        <f>ACCRINT(L22,K22,Context!$C$19,F22/100,100,2,1)</f>
        <v>0.3314917127</v>
      </c>
      <c r="K22" s="11">
        <f>COUPNCD(Context!$C$19,C22,2,1)</f>
        <v>45853</v>
      </c>
      <c r="L22" s="11">
        <f>COUPPCD(Context!$C$19,C22,2,1)</f>
        <v>45672</v>
      </c>
      <c r="M22" s="9">
        <f t="shared" si="2"/>
        <v>99.84321046</v>
      </c>
      <c r="N22" s="6">
        <f>(C22-Context!$C$19)/365.25</f>
        <v>0.386036961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 t="s">
        <v>15</v>
      </c>
      <c r="B23" s="7" t="s">
        <v>48</v>
      </c>
      <c r="C23" s="8" t="s">
        <v>49</v>
      </c>
      <c r="D23" s="6">
        <v>99.38671875</v>
      </c>
      <c r="E23" s="6">
        <v>99.43359375</v>
      </c>
      <c r="F23" s="6">
        <v>2.875</v>
      </c>
      <c r="G23" s="6" t="s">
        <v>18</v>
      </c>
      <c r="H23" s="9">
        <f t="shared" si="1"/>
        <v>99.41015625</v>
      </c>
      <c r="I23" s="6">
        <f>DAYS(C23,Context!$C$19)</f>
        <v>157</v>
      </c>
      <c r="J23" s="10">
        <f>ACCRINT(L23,K23,Context!$C$19,F23/100,100,2,1)</f>
        <v>0.1906077348</v>
      </c>
      <c r="K23" s="11">
        <f>COUPNCD(Context!$C$19,C23,2,1)</f>
        <v>45869</v>
      </c>
      <c r="L23" s="11">
        <f>COUPPCD(Context!$C$19,C23,2,1)</f>
        <v>45688</v>
      </c>
      <c r="M23" s="9">
        <f t="shared" si="2"/>
        <v>99.60076398</v>
      </c>
      <c r="N23" s="6">
        <f>(C23-Context!$C$19)/365.25</f>
        <v>0.4298425736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 t="s">
        <v>15</v>
      </c>
      <c r="B24" s="7" t="s">
        <v>50</v>
      </c>
      <c r="C24" s="8" t="s">
        <v>49</v>
      </c>
      <c r="D24" s="6">
        <v>98.27734375</v>
      </c>
      <c r="E24" s="6">
        <v>98.3359375</v>
      </c>
      <c r="F24" s="6">
        <v>0.25</v>
      </c>
      <c r="G24" s="6" t="s">
        <v>18</v>
      </c>
      <c r="H24" s="9">
        <f t="shared" si="1"/>
        <v>98.30664063</v>
      </c>
      <c r="I24" s="6">
        <f>DAYS(C24,Context!$C$19)</f>
        <v>157</v>
      </c>
      <c r="J24" s="10">
        <f>ACCRINT(L24,K24,Context!$C$19,F24/100,100,2,1)</f>
        <v>0.01657458564</v>
      </c>
      <c r="K24" s="11">
        <f>COUPNCD(Context!$C$19,C24,2,1)</f>
        <v>45869</v>
      </c>
      <c r="L24" s="11">
        <f>COUPPCD(Context!$C$19,C24,2,1)</f>
        <v>45688</v>
      </c>
      <c r="M24" s="9">
        <f t="shared" si="2"/>
        <v>98.32321521</v>
      </c>
      <c r="N24" s="6">
        <f>(C24-Context!$C$19)/365.25</f>
        <v>0.4298425736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 t="s">
        <v>15</v>
      </c>
      <c r="B25" s="7" t="s">
        <v>51</v>
      </c>
      <c r="C25" s="8" t="s">
        <v>49</v>
      </c>
      <c r="D25" s="6">
        <v>100.171875</v>
      </c>
      <c r="E25" s="6">
        <v>100.2109375</v>
      </c>
      <c r="F25" s="6">
        <v>4.75</v>
      </c>
      <c r="G25" s="6" t="s">
        <v>18</v>
      </c>
      <c r="H25" s="9">
        <f t="shared" si="1"/>
        <v>100.1914063</v>
      </c>
      <c r="I25" s="6">
        <f>DAYS(C25,Context!$C$19)</f>
        <v>157</v>
      </c>
      <c r="J25" s="10">
        <f>ACCRINT(L25,K25,Context!$C$19,F25/100,100,2,1)</f>
        <v>0.3149171271</v>
      </c>
      <c r="K25" s="11">
        <f>COUPNCD(Context!$C$19,C25,2,1)</f>
        <v>45869</v>
      </c>
      <c r="L25" s="11">
        <f>COUPPCD(Context!$C$19,C25,2,1)</f>
        <v>45688</v>
      </c>
      <c r="M25" s="9">
        <f t="shared" si="2"/>
        <v>100.5063234</v>
      </c>
      <c r="N25" s="6">
        <f>(C25-Context!$C$19)/365.25</f>
        <v>0.4298425736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 t="s">
        <v>15</v>
      </c>
      <c r="B26" s="7" t="s">
        <v>52</v>
      </c>
      <c r="C26" s="8" t="s">
        <v>53</v>
      </c>
      <c r="D26" s="6">
        <v>101.13671875</v>
      </c>
      <c r="E26" s="6">
        <v>101.73046875</v>
      </c>
      <c r="F26" s="6">
        <v>6.875</v>
      </c>
      <c r="G26" s="6" t="s">
        <v>18</v>
      </c>
      <c r="H26" s="9">
        <f t="shared" si="1"/>
        <v>101.4335938</v>
      </c>
      <c r="I26" s="6">
        <f>DAYS(C26,Context!$C$19)</f>
        <v>172</v>
      </c>
      <c r="J26" s="10">
        <f>ACCRINT(L26,K26,Context!$C$19,F26/100,100,2,1)</f>
        <v>0.1709254144</v>
      </c>
      <c r="K26" s="11">
        <f>COUPNCD(Context!$C$19,C26,2,1)</f>
        <v>45884</v>
      </c>
      <c r="L26" s="11">
        <f>COUPPCD(Context!$C$19,C26,2,1)</f>
        <v>45703</v>
      </c>
      <c r="M26" s="9">
        <f t="shared" si="2"/>
        <v>101.6045192</v>
      </c>
      <c r="N26" s="6">
        <f>(C26-Context!$C$19)/365.25</f>
        <v>0.4709103354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 t="s">
        <v>15</v>
      </c>
      <c r="B27" s="7" t="s">
        <v>54</v>
      </c>
      <c r="C27" s="8" t="s">
        <v>53</v>
      </c>
      <c r="D27" s="6">
        <v>99.44140625</v>
      </c>
      <c r="E27" s="6">
        <v>99.4765625</v>
      </c>
      <c r="F27" s="6">
        <v>3.125</v>
      </c>
      <c r="G27" s="6" t="s">
        <v>18</v>
      </c>
      <c r="H27" s="9">
        <f t="shared" si="1"/>
        <v>99.45898438</v>
      </c>
      <c r="I27" s="6">
        <f>DAYS(C27,Context!$C$19)</f>
        <v>172</v>
      </c>
      <c r="J27" s="10">
        <f>ACCRINT(L27,K27,Context!$C$19,F27/100,100,2,1)</f>
        <v>0.07769337017</v>
      </c>
      <c r="K27" s="11">
        <f>COUPNCD(Context!$C$19,C27,2,1)</f>
        <v>45884</v>
      </c>
      <c r="L27" s="11">
        <f>COUPPCD(Context!$C$19,C27,2,1)</f>
        <v>45703</v>
      </c>
      <c r="M27" s="9">
        <f t="shared" si="2"/>
        <v>99.53667775</v>
      </c>
      <c r="N27" s="6">
        <f>(C27-Context!$C$19)/365.25</f>
        <v>0.4709103354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 t="s">
        <v>15</v>
      </c>
      <c r="B28" s="7" t="s">
        <v>55</v>
      </c>
      <c r="C28" s="8" t="s">
        <v>53</v>
      </c>
      <c r="D28" s="6">
        <v>98.91796875</v>
      </c>
      <c r="E28" s="6">
        <v>98.953125</v>
      </c>
      <c r="F28" s="6">
        <v>2.0</v>
      </c>
      <c r="G28" s="6" t="s">
        <v>18</v>
      </c>
      <c r="H28" s="9">
        <f t="shared" si="1"/>
        <v>98.93554688</v>
      </c>
      <c r="I28" s="6">
        <f>DAYS(C28,Context!$C$19)</f>
        <v>172</v>
      </c>
      <c r="J28" s="10">
        <f>ACCRINT(L28,K28,Context!$C$19,F28/100,100,2,1)</f>
        <v>0.04972375691</v>
      </c>
      <c r="K28" s="11">
        <f>COUPNCD(Context!$C$19,C28,2,1)</f>
        <v>45884</v>
      </c>
      <c r="L28" s="11">
        <f>COUPPCD(Context!$C$19,C28,2,1)</f>
        <v>45703</v>
      </c>
      <c r="M28" s="9">
        <f t="shared" si="2"/>
        <v>98.98527063</v>
      </c>
      <c r="N28" s="6">
        <f>(C28-Context!$C$19)/365.25</f>
        <v>0.4709103354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 t="s">
        <v>15</v>
      </c>
      <c r="B29" s="7" t="s">
        <v>56</v>
      </c>
      <c r="C29" s="8" t="s">
        <v>57</v>
      </c>
      <c r="D29" s="6">
        <v>99.19921875</v>
      </c>
      <c r="E29" s="6">
        <v>99.23828125</v>
      </c>
      <c r="F29" s="6">
        <v>2.75</v>
      </c>
      <c r="G29" s="6" t="s">
        <v>18</v>
      </c>
      <c r="H29" s="9">
        <f t="shared" si="1"/>
        <v>99.21875</v>
      </c>
      <c r="I29" s="6">
        <f>DAYS(C29,Context!$C$19)</f>
        <v>188</v>
      </c>
      <c r="J29" s="10">
        <f>ACCRINT(L29,K29,Context!$C$19,F29/100,100,2,1)</f>
        <v>1.322690217</v>
      </c>
      <c r="K29" s="11">
        <f>COUPNCD(Context!$C$19,C29,2,1)</f>
        <v>45716</v>
      </c>
      <c r="L29" s="11">
        <f>COUPPCD(Context!$C$19,C29,2,1)</f>
        <v>45535</v>
      </c>
      <c r="M29" s="9">
        <f t="shared" si="2"/>
        <v>100.5414402</v>
      </c>
      <c r="N29" s="6">
        <f>(C29-Context!$C$19)/365.25</f>
        <v>0.514715948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 t="s">
        <v>15</v>
      </c>
      <c r="B30" s="7" t="s">
        <v>58</v>
      </c>
      <c r="C30" s="8" t="s">
        <v>57</v>
      </c>
      <c r="D30" s="6">
        <v>97.953125</v>
      </c>
      <c r="E30" s="6">
        <v>98.01171875</v>
      </c>
      <c r="F30" s="6">
        <v>0.25</v>
      </c>
      <c r="G30" s="6" t="s">
        <v>18</v>
      </c>
      <c r="H30" s="9">
        <f t="shared" si="1"/>
        <v>97.98242188</v>
      </c>
      <c r="I30" s="6">
        <f>DAYS(C30,Context!$C$19)</f>
        <v>188</v>
      </c>
      <c r="J30" s="10">
        <f>ACCRINT(L30,K30,Context!$C$19,F30/100,100,2,1)</f>
        <v>0.1202445652</v>
      </c>
      <c r="K30" s="11">
        <f>COUPNCD(Context!$C$19,C30,2,1)</f>
        <v>45716</v>
      </c>
      <c r="L30" s="11">
        <f>COUPPCD(Context!$C$19,C30,2,1)</f>
        <v>45535</v>
      </c>
      <c r="M30" s="9">
        <f t="shared" si="2"/>
        <v>98.10266644</v>
      </c>
      <c r="N30" s="6">
        <f>(C30-Context!$C$19)/365.25</f>
        <v>0.514715948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 t="s">
        <v>15</v>
      </c>
      <c r="B31" s="7" t="s">
        <v>59</v>
      </c>
      <c r="C31" s="8" t="s">
        <v>57</v>
      </c>
      <c r="D31" s="6">
        <v>100.3203125</v>
      </c>
      <c r="E31" s="6">
        <v>100.34765625</v>
      </c>
      <c r="F31" s="6">
        <v>5.0</v>
      </c>
      <c r="G31" s="6" t="s">
        <v>18</v>
      </c>
      <c r="H31" s="9">
        <f t="shared" si="1"/>
        <v>100.3339844</v>
      </c>
      <c r="I31" s="6">
        <f>DAYS(C31,Context!$C$19)</f>
        <v>188</v>
      </c>
      <c r="J31" s="10">
        <f>ACCRINT(L31,K31,Context!$C$19,F31/100,100,2,1)</f>
        <v>2.404891304</v>
      </c>
      <c r="K31" s="11">
        <f>COUPNCD(Context!$C$19,C31,2,1)</f>
        <v>45716</v>
      </c>
      <c r="L31" s="11">
        <f>COUPPCD(Context!$C$19,C31,2,1)</f>
        <v>45535</v>
      </c>
      <c r="M31" s="9">
        <f t="shared" si="2"/>
        <v>102.7388757</v>
      </c>
      <c r="N31" s="6">
        <f>(C31-Context!$C$19)/365.25</f>
        <v>0.514715948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 t="s">
        <v>15</v>
      </c>
      <c r="B32" s="7" t="s">
        <v>60</v>
      </c>
      <c r="C32" s="8" t="s">
        <v>61</v>
      </c>
      <c r="D32" s="6">
        <v>99.55859375</v>
      </c>
      <c r="E32" s="6">
        <v>99.59375</v>
      </c>
      <c r="F32" s="6">
        <v>3.5</v>
      </c>
      <c r="G32" s="6" t="s">
        <v>18</v>
      </c>
      <c r="H32" s="9">
        <f t="shared" si="1"/>
        <v>99.57617188</v>
      </c>
      <c r="I32" s="6">
        <f>DAYS(C32,Context!$C$19)</f>
        <v>203</v>
      </c>
      <c r="J32" s="10">
        <f>ACCRINT(L32,K32,Context!$C$19,F32/100,100,2,1)</f>
        <v>1.566298343</v>
      </c>
      <c r="K32" s="11">
        <f>COUPNCD(Context!$C$19,C32,2,1)</f>
        <v>45731</v>
      </c>
      <c r="L32" s="11">
        <f>COUPPCD(Context!$C$19,C32,2,1)</f>
        <v>45550</v>
      </c>
      <c r="M32" s="9">
        <f t="shared" si="2"/>
        <v>101.1424702</v>
      </c>
      <c r="N32" s="6">
        <f>(C32-Context!$C$19)/365.25</f>
        <v>0.5557837098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 t="s">
        <v>15</v>
      </c>
      <c r="B33" s="7" t="s">
        <v>62</v>
      </c>
      <c r="C33" s="8" t="s">
        <v>63</v>
      </c>
      <c r="D33" s="6">
        <v>99.25390625</v>
      </c>
      <c r="E33" s="6">
        <v>99.28125</v>
      </c>
      <c r="F33" s="6">
        <v>3.0</v>
      </c>
      <c r="G33" s="6" t="s">
        <v>18</v>
      </c>
      <c r="H33" s="9">
        <f t="shared" si="1"/>
        <v>99.26757813</v>
      </c>
      <c r="I33" s="6">
        <f>DAYS(C33,Context!$C$19)</f>
        <v>218</v>
      </c>
      <c r="J33" s="10">
        <f>ACCRINT(L33,K33,Context!$C$19,F33/100,100,2,1)</f>
        <v>1.218232044</v>
      </c>
      <c r="K33" s="11">
        <f>COUPNCD(Context!$C$19,C33,2,1)</f>
        <v>45746</v>
      </c>
      <c r="L33" s="11">
        <f>COUPPCD(Context!$C$19,C33,2,1)</f>
        <v>45565</v>
      </c>
      <c r="M33" s="9">
        <f t="shared" si="2"/>
        <v>100.4858102</v>
      </c>
      <c r="N33" s="6">
        <f>(C33-Context!$C$19)/365.25</f>
        <v>0.5968514716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 t="s">
        <v>15</v>
      </c>
      <c r="B34" s="7" t="s">
        <v>64</v>
      </c>
      <c r="C34" s="8" t="s">
        <v>63</v>
      </c>
      <c r="D34" s="6">
        <v>100.3828125</v>
      </c>
      <c r="E34" s="6">
        <v>100.4296875</v>
      </c>
      <c r="F34" s="6">
        <v>5.0</v>
      </c>
      <c r="G34" s="6" t="s">
        <v>18</v>
      </c>
      <c r="H34" s="9">
        <f t="shared" si="1"/>
        <v>100.40625</v>
      </c>
      <c r="I34" s="6">
        <f>DAYS(C34,Context!$C$19)</f>
        <v>218</v>
      </c>
      <c r="J34" s="10">
        <f>ACCRINT(L34,K34,Context!$C$19,F34/100,100,2,1)</f>
        <v>2.03038674</v>
      </c>
      <c r="K34" s="11">
        <f>COUPNCD(Context!$C$19,C34,2,1)</f>
        <v>45746</v>
      </c>
      <c r="L34" s="11">
        <f>COUPPCD(Context!$C$19,C34,2,1)</f>
        <v>45565</v>
      </c>
      <c r="M34" s="9">
        <f t="shared" si="2"/>
        <v>102.4366367</v>
      </c>
      <c r="N34" s="6">
        <f>(C34-Context!$C$19)/365.25</f>
        <v>0.5968514716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 t="s">
        <v>15</v>
      </c>
      <c r="B35" s="7" t="s">
        <v>65</v>
      </c>
      <c r="C35" s="8" t="s">
        <v>63</v>
      </c>
      <c r="D35" s="6">
        <v>97.625</v>
      </c>
      <c r="E35" s="6">
        <v>97.69140625</v>
      </c>
      <c r="F35" s="6">
        <v>0.25</v>
      </c>
      <c r="G35" s="6" t="s">
        <v>18</v>
      </c>
      <c r="H35" s="9">
        <f t="shared" si="1"/>
        <v>97.65820313</v>
      </c>
      <c r="I35" s="6">
        <f>DAYS(C35,Context!$C$19)</f>
        <v>218</v>
      </c>
      <c r="J35" s="10">
        <f>ACCRINT(L35,K35,Context!$C$19,F35/100,100,2,1)</f>
        <v>0.101519337</v>
      </c>
      <c r="K35" s="11">
        <f>COUPNCD(Context!$C$19,C35,2,1)</f>
        <v>45746</v>
      </c>
      <c r="L35" s="11">
        <f>COUPPCD(Context!$C$19,C35,2,1)</f>
        <v>45565</v>
      </c>
      <c r="M35" s="9">
        <f t="shared" si="2"/>
        <v>97.75972246</v>
      </c>
      <c r="N35" s="6">
        <f>(C35-Context!$C$19)/365.25</f>
        <v>0.5968514716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 t="s">
        <v>15</v>
      </c>
      <c r="B36" s="7" t="s">
        <v>66</v>
      </c>
      <c r="C36" s="8" t="s">
        <v>67</v>
      </c>
      <c r="D36" s="6">
        <v>99.98828125</v>
      </c>
      <c r="E36" s="6">
        <v>100.01953125</v>
      </c>
      <c r="F36" s="6">
        <v>4.25</v>
      </c>
      <c r="G36" s="6" t="s">
        <v>18</v>
      </c>
      <c r="H36" s="9">
        <f t="shared" si="1"/>
        <v>100.0039063</v>
      </c>
      <c r="I36" s="6">
        <f>DAYS(C36,Context!$C$19)</f>
        <v>233</v>
      </c>
      <c r="J36" s="10">
        <f>ACCRINT(L36,K36,Context!$C$19,F36/100,100,2,1)</f>
        <v>1.541208791</v>
      </c>
      <c r="K36" s="11">
        <f>COUPNCD(Context!$C$19,C36,2,1)</f>
        <v>45762</v>
      </c>
      <c r="L36" s="11">
        <f>COUPPCD(Context!$C$19,C36,2,1)</f>
        <v>45580</v>
      </c>
      <c r="M36" s="9">
        <f t="shared" si="2"/>
        <v>101.545115</v>
      </c>
      <c r="N36" s="6">
        <f>(C36-Context!$C$19)/365.25</f>
        <v>0.6379192334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 t="s">
        <v>15</v>
      </c>
      <c r="B37" s="7" t="s">
        <v>68</v>
      </c>
      <c r="C37" s="8" t="s">
        <v>69</v>
      </c>
      <c r="D37" s="6">
        <v>99.16015625</v>
      </c>
      <c r="E37" s="6">
        <v>99.1953125</v>
      </c>
      <c r="F37" s="6">
        <v>3.0</v>
      </c>
      <c r="G37" s="6" t="s">
        <v>18</v>
      </c>
      <c r="H37" s="9">
        <f t="shared" si="1"/>
        <v>99.17773438</v>
      </c>
      <c r="I37" s="6">
        <f>DAYS(C37,Context!$C$19)</f>
        <v>249</v>
      </c>
      <c r="J37" s="10">
        <f>ACCRINT(L37,K37,Context!$C$19,F37/100,100,2,1)</f>
        <v>0.956043956</v>
      </c>
      <c r="K37" s="11">
        <f>COUPNCD(Context!$C$19,C37,2,1)</f>
        <v>45777</v>
      </c>
      <c r="L37" s="11">
        <f>COUPPCD(Context!$C$19,C37,2,1)</f>
        <v>45596</v>
      </c>
      <c r="M37" s="9">
        <f t="shared" si="2"/>
        <v>100.1337783</v>
      </c>
      <c r="N37" s="6">
        <f>(C37-Context!$C$19)/365.25</f>
        <v>0.681724846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 t="s">
        <v>15</v>
      </c>
      <c r="B38" s="7" t="s">
        <v>70</v>
      </c>
      <c r="C38" s="8" t="s">
        <v>69</v>
      </c>
      <c r="D38" s="6">
        <v>100.46484375</v>
      </c>
      <c r="E38" s="6">
        <v>100.51171875</v>
      </c>
      <c r="F38" s="6">
        <v>5.0</v>
      </c>
      <c r="G38" s="6" t="s">
        <v>18</v>
      </c>
      <c r="H38" s="9">
        <f t="shared" si="1"/>
        <v>100.4882813</v>
      </c>
      <c r="I38" s="6">
        <f>DAYS(C38,Context!$C$19)</f>
        <v>249</v>
      </c>
      <c r="J38" s="10">
        <f>ACCRINT(L38,K38,Context!$C$19,F38/100,100,2,1)</f>
        <v>1.593406593</v>
      </c>
      <c r="K38" s="11">
        <f>COUPNCD(Context!$C$19,C38,2,1)</f>
        <v>45777</v>
      </c>
      <c r="L38" s="11">
        <f>COUPPCD(Context!$C$19,C38,2,1)</f>
        <v>45596</v>
      </c>
      <c r="M38" s="9">
        <f t="shared" si="2"/>
        <v>102.0816878</v>
      </c>
      <c r="N38" s="6">
        <f>(C38-Context!$C$19)/365.25</f>
        <v>0.681724846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 t="s">
        <v>15</v>
      </c>
      <c r="B39" s="7" t="s">
        <v>71</v>
      </c>
      <c r="C39" s="8" t="s">
        <v>69</v>
      </c>
      <c r="D39" s="6">
        <v>97.328125</v>
      </c>
      <c r="E39" s="6">
        <v>97.390625</v>
      </c>
      <c r="F39" s="6">
        <v>0.25</v>
      </c>
      <c r="G39" s="6" t="s">
        <v>18</v>
      </c>
      <c r="H39" s="9">
        <f t="shared" si="1"/>
        <v>97.359375</v>
      </c>
      <c r="I39" s="6">
        <f>DAYS(C39,Context!$C$19)</f>
        <v>249</v>
      </c>
      <c r="J39" s="10">
        <f>ACCRINT(L39,K39,Context!$C$19,F39/100,100,2,1)</f>
        <v>0.07967032967</v>
      </c>
      <c r="K39" s="11">
        <f>COUPNCD(Context!$C$19,C39,2,1)</f>
        <v>45777</v>
      </c>
      <c r="L39" s="11">
        <f>COUPPCD(Context!$C$19,C39,2,1)</f>
        <v>45596</v>
      </c>
      <c r="M39" s="9">
        <f t="shared" si="2"/>
        <v>97.43904533</v>
      </c>
      <c r="N39" s="6">
        <f>(C39-Context!$C$19)/365.25</f>
        <v>0.681724846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 t="s">
        <v>15</v>
      </c>
      <c r="B40" s="7" t="s">
        <v>72</v>
      </c>
      <c r="C40" s="8" t="s">
        <v>73</v>
      </c>
      <c r="D40" s="6">
        <v>100.1328125</v>
      </c>
      <c r="E40" s="6">
        <v>100.16015625</v>
      </c>
      <c r="F40" s="6">
        <v>4.5</v>
      </c>
      <c r="G40" s="6" t="s">
        <v>18</v>
      </c>
      <c r="H40" s="9">
        <f t="shared" si="1"/>
        <v>100.1464844</v>
      </c>
      <c r="I40" s="6">
        <f>DAYS(C40,Context!$C$19)</f>
        <v>264</v>
      </c>
      <c r="J40" s="10">
        <f>ACCRINT(L40,K40,Context!$C$19,F40/100,100,2,1)</f>
        <v>1.255524862</v>
      </c>
      <c r="K40" s="11">
        <f>COUPNCD(Context!$C$19,C40,2,1)</f>
        <v>45792</v>
      </c>
      <c r="L40" s="11">
        <f>COUPPCD(Context!$C$19,C40,2,1)</f>
        <v>45611</v>
      </c>
      <c r="M40" s="9">
        <f t="shared" si="2"/>
        <v>101.4020092</v>
      </c>
      <c r="N40" s="6">
        <f>(C40-Context!$C$19)/365.25</f>
        <v>0.7227926078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 t="s">
        <v>15</v>
      </c>
      <c r="B41" s="7" t="s">
        <v>74</v>
      </c>
      <c r="C41" s="8" t="s">
        <v>73</v>
      </c>
      <c r="D41" s="6">
        <v>98.56640625</v>
      </c>
      <c r="E41" s="6">
        <v>98.609375</v>
      </c>
      <c r="F41" s="6">
        <v>2.25</v>
      </c>
      <c r="G41" s="6" t="s">
        <v>18</v>
      </c>
      <c r="H41" s="9">
        <f t="shared" si="1"/>
        <v>98.58789063</v>
      </c>
      <c r="I41" s="6">
        <f>DAYS(C41,Context!$C$19)</f>
        <v>264</v>
      </c>
      <c r="J41" s="10">
        <f>ACCRINT(L41,K41,Context!$C$19,F41/100,100,2,1)</f>
        <v>0.6277624309</v>
      </c>
      <c r="K41" s="11">
        <f>COUPNCD(Context!$C$19,C41,2,1)</f>
        <v>45792</v>
      </c>
      <c r="L41" s="11">
        <f>COUPPCD(Context!$C$19,C41,2,1)</f>
        <v>45611</v>
      </c>
      <c r="M41" s="9">
        <f t="shared" si="2"/>
        <v>99.21565306</v>
      </c>
      <c r="N41" s="6">
        <f>(C41-Context!$C$19)/365.25</f>
        <v>0.7227926078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 t="s">
        <v>15</v>
      </c>
      <c r="B42" s="7" t="s">
        <v>75</v>
      </c>
      <c r="C42" s="8" t="s">
        <v>76</v>
      </c>
      <c r="D42" s="6">
        <v>98.9609375</v>
      </c>
      <c r="E42" s="6">
        <v>99.0</v>
      </c>
      <c r="F42" s="6">
        <v>2.875</v>
      </c>
      <c r="G42" s="6" t="s">
        <v>18</v>
      </c>
      <c r="H42" s="9">
        <f t="shared" si="1"/>
        <v>98.98046875</v>
      </c>
      <c r="I42" s="6">
        <f>DAYS(C42,Context!$C$19)</f>
        <v>279</v>
      </c>
      <c r="J42" s="10">
        <f>ACCRINT(L42,K42,Context!$C$19,F42/100,100,2,1)</f>
        <v>0.6830110497</v>
      </c>
      <c r="K42" s="11">
        <f>COUPNCD(Context!$C$19,C42,2,1)</f>
        <v>45807</v>
      </c>
      <c r="L42" s="11">
        <f>COUPPCD(Context!$C$19,C42,2,1)</f>
        <v>45626</v>
      </c>
      <c r="M42" s="9">
        <f t="shared" si="2"/>
        <v>99.6634798</v>
      </c>
      <c r="N42" s="6">
        <f>(C42-Context!$C$19)/365.25</f>
        <v>0.7638603696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 t="s">
        <v>15</v>
      </c>
      <c r="B43" s="7" t="s">
        <v>77</v>
      </c>
      <c r="C43" s="8" t="s">
        <v>76</v>
      </c>
      <c r="D43" s="6">
        <v>97.09765625</v>
      </c>
      <c r="E43" s="6">
        <v>97.15625</v>
      </c>
      <c r="F43" s="6">
        <v>0.375</v>
      </c>
      <c r="G43" s="6" t="s">
        <v>18</v>
      </c>
      <c r="H43" s="9">
        <f t="shared" si="1"/>
        <v>97.12695313</v>
      </c>
      <c r="I43" s="6">
        <f>DAYS(C43,Context!$C$19)</f>
        <v>279</v>
      </c>
      <c r="J43" s="10">
        <f>ACCRINT(L43,K43,Context!$C$19,F43/100,100,2,1)</f>
        <v>0.08908839779</v>
      </c>
      <c r="K43" s="11">
        <f>COUPNCD(Context!$C$19,C43,2,1)</f>
        <v>45807</v>
      </c>
      <c r="L43" s="11">
        <f>COUPPCD(Context!$C$19,C43,2,1)</f>
        <v>45626</v>
      </c>
      <c r="M43" s="9">
        <f t="shared" si="2"/>
        <v>97.21604152</v>
      </c>
      <c r="N43" s="6">
        <f>(C43-Context!$C$19)/365.25</f>
        <v>0.7638603696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 t="s">
        <v>15</v>
      </c>
      <c r="B44" s="7" t="s">
        <v>78</v>
      </c>
      <c r="C44" s="8" t="s">
        <v>76</v>
      </c>
      <c r="D44" s="6">
        <v>100.421875</v>
      </c>
      <c r="E44" s="6">
        <v>100.45703125</v>
      </c>
      <c r="F44" s="6">
        <v>4.875</v>
      </c>
      <c r="G44" s="6" t="s">
        <v>18</v>
      </c>
      <c r="H44" s="9">
        <f t="shared" si="1"/>
        <v>100.4394531</v>
      </c>
      <c r="I44" s="6">
        <f>DAYS(C44,Context!$C$19)</f>
        <v>279</v>
      </c>
      <c r="J44" s="10">
        <f>ACCRINT(L44,K44,Context!$C$19,F44/100,100,2,1)</f>
        <v>1.158149171</v>
      </c>
      <c r="K44" s="11">
        <f>COUPNCD(Context!$C$19,C44,2,1)</f>
        <v>45807</v>
      </c>
      <c r="L44" s="11">
        <f>COUPPCD(Context!$C$19,C44,2,1)</f>
        <v>45626</v>
      </c>
      <c r="M44" s="9">
        <f t="shared" si="2"/>
        <v>101.5976023</v>
      </c>
      <c r="N44" s="6">
        <f>(C44-Context!$C$19)/365.25</f>
        <v>0.7638603696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 t="s">
        <v>15</v>
      </c>
      <c r="B45" s="7" t="s">
        <v>79</v>
      </c>
      <c r="C45" s="8" t="s">
        <v>80</v>
      </c>
      <c r="D45" s="6">
        <v>99.80859375</v>
      </c>
      <c r="E45" s="6">
        <v>99.8515625</v>
      </c>
      <c r="F45" s="6">
        <v>4.0</v>
      </c>
      <c r="G45" s="6" t="s">
        <v>18</v>
      </c>
      <c r="H45" s="9">
        <f t="shared" si="1"/>
        <v>99.83007813</v>
      </c>
      <c r="I45" s="6">
        <f>DAYS(C45,Context!$C$19)</f>
        <v>294</v>
      </c>
      <c r="J45" s="10">
        <f>ACCRINT(L45,K45,Context!$C$19,F45/100,100,2,1)</f>
        <v>0.7802197802</v>
      </c>
      <c r="K45" s="11">
        <f>COUPNCD(Context!$C$19,C45,2,1)</f>
        <v>45823</v>
      </c>
      <c r="L45" s="11">
        <f>COUPPCD(Context!$C$19,C45,2,1)</f>
        <v>45641</v>
      </c>
      <c r="M45" s="9">
        <f t="shared" si="2"/>
        <v>100.6102979</v>
      </c>
      <c r="N45" s="6">
        <f>(C45-Context!$C$19)/365.25</f>
        <v>0.8049281314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 t="s">
        <v>15</v>
      </c>
      <c r="B46" s="7" t="s">
        <v>81</v>
      </c>
      <c r="C46" s="8" t="s">
        <v>82</v>
      </c>
      <c r="D46" s="6">
        <v>100.0</v>
      </c>
      <c r="E46" s="6">
        <v>100.04296875</v>
      </c>
      <c r="F46" s="6">
        <v>4.25</v>
      </c>
      <c r="G46" s="6" t="s">
        <v>18</v>
      </c>
      <c r="H46" s="9">
        <f t="shared" si="1"/>
        <v>100.0214844</v>
      </c>
      <c r="I46" s="6">
        <f>DAYS(C46,Context!$C$19)</f>
        <v>310</v>
      </c>
      <c r="J46" s="10">
        <f>ACCRINT(L46,K46,Context!$C$19,F46/100,100,2,1)</f>
        <v>0.6421703297</v>
      </c>
      <c r="K46" s="11">
        <f>COUPNCD(Context!$C$19,C46,2,1)</f>
        <v>45838</v>
      </c>
      <c r="L46" s="11">
        <f>COUPPCD(Context!$C$19,C46,2,1)</f>
        <v>45657</v>
      </c>
      <c r="M46" s="9">
        <f t="shared" si="2"/>
        <v>100.6636547</v>
      </c>
      <c r="N46" s="6">
        <f>(C46-Context!$C$19)/365.25</f>
        <v>0.848733744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 t="s">
        <v>15</v>
      </c>
      <c r="B47" s="7" t="s">
        <v>83</v>
      </c>
      <c r="C47" s="8" t="s">
        <v>82</v>
      </c>
      <c r="D47" s="6">
        <v>98.68359375</v>
      </c>
      <c r="E47" s="6">
        <v>98.72265625</v>
      </c>
      <c r="F47" s="6">
        <v>2.625</v>
      </c>
      <c r="G47" s="6" t="s">
        <v>18</v>
      </c>
      <c r="H47" s="9">
        <f t="shared" si="1"/>
        <v>98.703125</v>
      </c>
      <c r="I47" s="6">
        <f>DAYS(C47,Context!$C$19)</f>
        <v>310</v>
      </c>
      <c r="J47" s="10">
        <f>ACCRINT(L47,K47,Context!$C$19,F47/100,100,2,1)</f>
        <v>0.3966346154</v>
      </c>
      <c r="K47" s="11">
        <f>COUPNCD(Context!$C$19,C47,2,1)</f>
        <v>45838</v>
      </c>
      <c r="L47" s="11">
        <f>COUPPCD(Context!$C$19,C47,2,1)</f>
        <v>45657</v>
      </c>
      <c r="M47" s="9">
        <f t="shared" si="2"/>
        <v>99.09975962</v>
      </c>
      <c r="N47" s="6">
        <f>(C47-Context!$C$19)/365.25</f>
        <v>0.848733744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 t="s">
        <v>15</v>
      </c>
      <c r="B48" s="7" t="s">
        <v>84</v>
      </c>
      <c r="C48" s="8" t="s">
        <v>82</v>
      </c>
      <c r="D48" s="6">
        <v>96.8203125</v>
      </c>
      <c r="E48" s="6">
        <v>96.88671875</v>
      </c>
      <c r="F48" s="6">
        <v>0.375</v>
      </c>
      <c r="G48" s="6" t="s">
        <v>18</v>
      </c>
      <c r="H48" s="9">
        <f t="shared" si="1"/>
        <v>96.85351563</v>
      </c>
      <c r="I48" s="6">
        <f>DAYS(C48,Context!$C$19)</f>
        <v>310</v>
      </c>
      <c r="J48" s="10">
        <f>ACCRINT(L48,K48,Context!$C$19,F48/100,100,2,1)</f>
        <v>0.05666208791</v>
      </c>
      <c r="K48" s="11">
        <f>COUPNCD(Context!$C$19,C48,2,1)</f>
        <v>45838</v>
      </c>
      <c r="L48" s="11">
        <f>COUPPCD(Context!$C$19,C48,2,1)</f>
        <v>45657</v>
      </c>
      <c r="M48" s="9">
        <f t="shared" si="2"/>
        <v>96.91017771</v>
      </c>
      <c r="N48" s="6">
        <f>(C48-Context!$C$19)/365.25</f>
        <v>0.848733744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 t="s">
        <v>15</v>
      </c>
      <c r="B49" s="7" t="s">
        <v>85</v>
      </c>
      <c r="C49" s="8" t="s">
        <v>86</v>
      </c>
      <c r="D49" s="6">
        <v>99.7109375</v>
      </c>
      <c r="E49" s="6">
        <v>99.74609375</v>
      </c>
      <c r="F49" s="6">
        <v>3.875</v>
      </c>
      <c r="G49" s="6" t="s">
        <v>18</v>
      </c>
      <c r="H49" s="9">
        <f t="shared" si="1"/>
        <v>99.72851563</v>
      </c>
      <c r="I49" s="6">
        <f>DAYS(C49,Context!$C$19)</f>
        <v>325</v>
      </c>
      <c r="J49" s="10">
        <f>ACCRINT(L49,K49,Context!$C$19,F49/100,100,2,1)</f>
        <v>0.4281767956</v>
      </c>
      <c r="K49" s="11">
        <f>COUPNCD(Context!$C$19,C49,2,1)</f>
        <v>45853</v>
      </c>
      <c r="L49" s="11">
        <f>COUPPCD(Context!$C$19,C49,2,1)</f>
        <v>45672</v>
      </c>
      <c r="M49" s="9">
        <f t="shared" si="2"/>
        <v>100.1566924</v>
      </c>
      <c r="N49" s="6">
        <f>(C49-Context!$C$19)/365.25</f>
        <v>0.8898015058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 t="s">
        <v>15</v>
      </c>
      <c r="B50" s="7" t="s">
        <v>87</v>
      </c>
      <c r="C50" s="8" t="s">
        <v>88</v>
      </c>
      <c r="D50" s="6">
        <v>98.55078125</v>
      </c>
      <c r="E50" s="6">
        <v>98.5859375</v>
      </c>
      <c r="F50" s="6">
        <v>2.625</v>
      </c>
      <c r="G50" s="6" t="s">
        <v>18</v>
      </c>
      <c r="H50" s="9">
        <f t="shared" si="1"/>
        <v>98.56835938</v>
      </c>
      <c r="I50" s="6">
        <f>DAYS(C50,Context!$C$19)</f>
        <v>341</v>
      </c>
      <c r="J50" s="10">
        <f>ACCRINT(L50,K50,Context!$C$19,F50/100,100,2,1)</f>
        <v>0.1740331492</v>
      </c>
      <c r="K50" s="11">
        <f>COUPNCD(Context!$C$19,C50,2,1)</f>
        <v>45869</v>
      </c>
      <c r="L50" s="11">
        <f>COUPPCD(Context!$C$19,C50,2,1)</f>
        <v>45688</v>
      </c>
      <c r="M50" s="9">
        <f t="shared" si="2"/>
        <v>98.74239252</v>
      </c>
      <c r="N50" s="6">
        <f>(C50-Context!$C$19)/365.25</f>
        <v>0.9336071184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 t="s">
        <v>15</v>
      </c>
      <c r="B51" s="7" t="s">
        <v>89</v>
      </c>
      <c r="C51" s="8" t="s">
        <v>88</v>
      </c>
      <c r="D51" s="6">
        <v>100.0</v>
      </c>
      <c r="E51" s="6">
        <v>100.02734375</v>
      </c>
      <c r="F51" s="6">
        <v>4.25</v>
      </c>
      <c r="G51" s="6" t="s">
        <v>18</v>
      </c>
      <c r="H51" s="9">
        <f t="shared" si="1"/>
        <v>100.0136719</v>
      </c>
      <c r="I51" s="6">
        <f>DAYS(C51,Context!$C$19)</f>
        <v>341</v>
      </c>
      <c r="J51" s="10">
        <f>ACCRINT(L51,K51,Context!$C$19,F51/100,100,2,1)</f>
        <v>0.2817679558</v>
      </c>
      <c r="K51" s="11">
        <f>COUPNCD(Context!$C$19,C51,2,1)</f>
        <v>45869</v>
      </c>
      <c r="L51" s="11">
        <f>COUPPCD(Context!$C$19,C51,2,1)</f>
        <v>45688</v>
      </c>
      <c r="M51" s="9">
        <f t="shared" si="2"/>
        <v>100.2954398</v>
      </c>
      <c r="N51" s="6">
        <f>(C51-Context!$C$19)/365.25</f>
        <v>0.9336071184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 t="s">
        <v>15</v>
      </c>
      <c r="B52" s="7" t="s">
        <v>90</v>
      </c>
      <c r="C52" s="8" t="s">
        <v>88</v>
      </c>
      <c r="D52" s="6">
        <v>96.5</v>
      </c>
      <c r="E52" s="6">
        <v>96.55859375</v>
      </c>
      <c r="F52" s="6">
        <v>0.375</v>
      </c>
      <c r="G52" s="6" t="s">
        <v>18</v>
      </c>
      <c r="H52" s="9">
        <f t="shared" si="1"/>
        <v>96.52929688</v>
      </c>
      <c r="I52" s="6">
        <f>DAYS(C52,Context!$C$19)</f>
        <v>341</v>
      </c>
      <c r="J52" s="10">
        <f>ACCRINT(L52,K52,Context!$C$19,F52/100,100,2,1)</f>
        <v>0.02486187845</v>
      </c>
      <c r="K52" s="11">
        <f>COUPNCD(Context!$C$19,C52,2,1)</f>
        <v>45869</v>
      </c>
      <c r="L52" s="11">
        <f>COUPPCD(Context!$C$19,C52,2,1)</f>
        <v>45688</v>
      </c>
      <c r="M52" s="9">
        <f t="shared" si="2"/>
        <v>96.55415875</v>
      </c>
      <c r="N52" s="6">
        <f>(C52-Context!$C$19)/365.25</f>
        <v>0.9336071184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 t="s">
        <v>15</v>
      </c>
      <c r="B53" s="7" t="s">
        <v>91</v>
      </c>
      <c r="C53" s="8" t="s">
        <v>92</v>
      </c>
      <c r="D53" s="6">
        <v>101.51953125</v>
      </c>
      <c r="E53" s="6">
        <v>102.140625</v>
      </c>
      <c r="F53" s="6">
        <v>6.0</v>
      </c>
      <c r="G53" s="6" t="s">
        <v>18</v>
      </c>
      <c r="H53" s="9">
        <f t="shared" si="1"/>
        <v>101.8300781</v>
      </c>
      <c r="I53" s="6">
        <f>DAYS(C53,Context!$C$19)</f>
        <v>356</v>
      </c>
      <c r="J53" s="10">
        <f>ACCRINT(L53,K53,Context!$C$19,F53/100,100,2,1)</f>
        <v>0.1491712707</v>
      </c>
      <c r="K53" s="11">
        <f>COUPNCD(Context!$C$19,C53,2,1)</f>
        <v>45884</v>
      </c>
      <c r="L53" s="11">
        <f>COUPPCD(Context!$C$19,C53,2,1)</f>
        <v>45703</v>
      </c>
      <c r="M53" s="9">
        <f t="shared" si="2"/>
        <v>101.9792494</v>
      </c>
      <c r="N53" s="6">
        <f>(C53-Context!$C$19)/365.25</f>
        <v>0.9746748802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 t="s">
        <v>15</v>
      </c>
      <c r="B54" s="7" t="s">
        <v>93</v>
      </c>
      <c r="C54" s="8" t="s">
        <v>92</v>
      </c>
      <c r="D54" s="6">
        <v>99.76953125</v>
      </c>
      <c r="E54" s="6">
        <v>99.80859375</v>
      </c>
      <c r="F54" s="6">
        <v>4.0</v>
      </c>
      <c r="G54" s="6" t="s">
        <v>18</v>
      </c>
      <c r="H54" s="9">
        <f t="shared" si="1"/>
        <v>99.7890625</v>
      </c>
      <c r="I54" s="6">
        <f>DAYS(C54,Context!$C$19)</f>
        <v>356</v>
      </c>
      <c r="J54" s="10">
        <f>ACCRINT(L54,K54,Context!$C$19,F54/100,100,2,1)</f>
        <v>0.09944751381</v>
      </c>
      <c r="K54" s="11">
        <f>COUPNCD(Context!$C$19,C54,2,1)</f>
        <v>45884</v>
      </c>
      <c r="L54" s="11">
        <f>COUPPCD(Context!$C$19,C54,2,1)</f>
        <v>45703</v>
      </c>
      <c r="M54" s="9">
        <f t="shared" si="2"/>
        <v>99.88851001</v>
      </c>
      <c r="N54" s="6">
        <f>(C54-Context!$C$19)/365.25</f>
        <v>0.9746748802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 t="s">
        <v>15</v>
      </c>
      <c r="B55" s="7" t="s">
        <v>94</v>
      </c>
      <c r="C55" s="8" t="s">
        <v>92</v>
      </c>
      <c r="D55" s="6">
        <v>97.5390625</v>
      </c>
      <c r="E55" s="6">
        <v>97.57421875</v>
      </c>
      <c r="F55" s="6">
        <v>1.625</v>
      </c>
      <c r="G55" s="6" t="s">
        <v>18</v>
      </c>
      <c r="H55" s="9">
        <f t="shared" si="1"/>
        <v>97.55664063</v>
      </c>
      <c r="I55" s="6">
        <f>DAYS(C55,Context!$C$19)</f>
        <v>356</v>
      </c>
      <c r="J55" s="10">
        <f>ACCRINT(L55,K55,Context!$C$19,F55/100,100,2,1)</f>
        <v>0.04040055249</v>
      </c>
      <c r="K55" s="11">
        <f>COUPNCD(Context!$C$19,C55,2,1)</f>
        <v>45884</v>
      </c>
      <c r="L55" s="11">
        <f>COUPPCD(Context!$C$19,C55,2,1)</f>
        <v>45703</v>
      </c>
      <c r="M55" s="9">
        <f t="shared" si="2"/>
        <v>97.59704118</v>
      </c>
      <c r="N55" s="6">
        <f>(C55-Context!$C$19)/365.25</f>
        <v>0.9746748802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 t="s">
        <v>15</v>
      </c>
      <c r="B56" s="7" t="s">
        <v>95</v>
      </c>
      <c r="C56" s="8" t="s">
        <v>96</v>
      </c>
      <c r="D56" s="6">
        <v>98.30859375</v>
      </c>
      <c r="E56" s="6">
        <v>98.3359375</v>
      </c>
      <c r="F56" s="6">
        <v>2.5</v>
      </c>
      <c r="G56" s="6" t="s">
        <v>18</v>
      </c>
      <c r="H56" s="9">
        <f t="shared" si="1"/>
        <v>98.32226563</v>
      </c>
      <c r="I56" s="6">
        <f>DAYS(C56,Context!$C$19)</f>
        <v>369</v>
      </c>
      <c r="J56" s="10">
        <f>ACCRINT(L56,K56,Context!$C$19,F56/100,100,2,1)</f>
        <v>1.222826087</v>
      </c>
      <c r="K56" s="11">
        <f>COUPNCD(Context!$C$19,C56,2,1)</f>
        <v>45716</v>
      </c>
      <c r="L56" s="11">
        <f>COUPPCD(Context!$C$19,C56,2,1)</f>
        <v>45532</v>
      </c>
      <c r="M56" s="9">
        <f t="shared" si="2"/>
        <v>99.54509171</v>
      </c>
      <c r="N56" s="6">
        <f>(C56-Context!$C$19)/365.25</f>
        <v>1.01026694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 t="s">
        <v>15</v>
      </c>
      <c r="B57" s="7" t="s">
        <v>97</v>
      </c>
      <c r="C57" s="8" t="s">
        <v>96</v>
      </c>
      <c r="D57" s="6">
        <v>100.375</v>
      </c>
      <c r="E57" s="6">
        <v>100.39453125</v>
      </c>
      <c r="F57" s="6">
        <v>4.625</v>
      </c>
      <c r="G57" s="6" t="s">
        <v>18</v>
      </c>
      <c r="H57" s="9">
        <f t="shared" si="1"/>
        <v>100.3847656</v>
      </c>
      <c r="I57" s="6">
        <f>DAYS(C57,Context!$C$19)</f>
        <v>369</v>
      </c>
      <c r="J57" s="10">
        <f>ACCRINT(L57,K57,Context!$C$19,F57/100,100,2,1)</f>
        <v>2.262228261</v>
      </c>
      <c r="K57" s="11">
        <f>COUPNCD(Context!$C$19,C57,2,1)</f>
        <v>45716</v>
      </c>
      <c r="L57" s="11">
        <f>COUPPCD(Context!$C$19,C57,2,1)</f>
        <v>45532</v>
      </c>
      <c r="M57" s="9">
        <f t="shared" si="2"/>
        <v>102.6469939</v>
      </c>
      <c r="N57" s="6">
        <f>(C57-Context!$C$19)/365.25</f>
        <v>1.01026694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 t="s">
        <v>15</v>
      </c>
      <c r="B58" s="7" t="s">
        <v>98</v>
      </c>
      <c r="C58" s="8" t="s">
        <v>96</v>
      </c>
      <c r="D58" s="6">
        <v>96.3359375</v>
      </c>
      <c r="E58" s="6">
        <v>96.3828125</v>
      </c>
      <c r="F58" s="6">
        <v>0.5</v>
      </c>
      <c r="G58" s="6" t="s">
        <v>18</v>
      </c>
      <c r="H58" s="9">
        <f t="shared" si="1"/>
        <v>96.359375</v>
      </c>
      <c r="I58" s="6">
        <f>DAYS(C58,Context!$C$19)</f>
        <v>369</v>
      </c>
      <c r="J58" s="10">
        <f>ACCRINT(L58,K58,Context!$C$19,F58/100,100,2,1)</f>
        <v>0.2445652174</v>
      </c>
      <c r="K58" s="11">
        <f>COUPNCD(Context!$C$19,C58,2,1)</f>
        <v>45716</v>
      </c>
      <c r="L58" s="11">
        <f>COUPPCD(Context!$C$19,C58,2,1)</f>
        <v>45532</v>
      </c>
      <c r="M58" s="9">
        <f t="shared" si="2"/>
        <v>96.60394022</v>
      </c>
      <c r="N58" s="6">
        <f>(C58-Context!$C$19)/365.25</f>
        <v>1.01026694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 t="s">
        <v>15</v>
      </c>
      <c r="B59" s="7" t="s">
        <v>99</v>
      </c>
      <c r="C59" s="8" t="s">
        <v>100</v>
      </c>
      <c r="D59" s="6">
        <v>100.39453125</v>
      </c>
      <c r="E59" s="6">
        <v>100.4296875</v>
      </c>
      <c r="F59" s="6">
        <v>4.625</v>
      </c>
      <c r="G59" s="6" t="s">
        <v>18</v>
      </c>
      <c r="H59" s="9">
        <f t="shared" si="1"/>
        <v>100.4121094</v>
      </c>
      <c r="I59" s="6">
        <f>DAYS(C59,Context!$C$19)</f>
        <v>384</v>
      </c>
      <c r="J59" s="10">
        <f>ACCRINT(L59,K59,Context!$C$19,F59/100,100,2,1)</f>
        <v>2.069751381</v>
      </c>
      <c r="K59" s="11">
        <f>COUPNCD(Context!$C$19,C59,2,1)</f>
        <v>45731</v>
      </c>
      <c r="L59" s="11">
        <f>COUPPCD(Context!$C$19,C59,2,1)</f>
        <v>45550</v>
      </c>
      <c r="M59" s="9">
        <f t="shared" si="2"/>
        <v>102.4818608</v>
      </c>
      <c r="N59" s="6">
        <f>(C59-Context!$C$19)/365.25</f>
        <v>1.051334702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 t="s">
        <v>15</v>
      </c>
      <c r="B60" s="7" t="s">
        <v>101</v>
      </c>
      <c r="C60" s="8" t="s">
        <v>102</v>
      </c>
      <c r="D60" s="6">
        <v>96.33203125</v>
      </c>
      <c r="E60" s="6">
        <v>96.359375</v>
      </c>
      <c r="F60" s="6">
        <v>0.75</v>
      </c>
      <c r="G60" s="6" t="s">
        <v>18</v>
      </c>
      <c r="H60" s="9">
        <f t="shared" si="1"/>
        <v>96.34570313</v>
      </c>
      <c r="I60" s="6">
        <f>DAYS(C60,Context!$C$19)</f>
        <v>400</v>
      </c>
      <c r="J60" s="10">
        <f>ACCRINT(L60,K60,Context!$C$19,F60/100,100,2,1)</f>
        <v>0.3028846154</v>
      </c>
      <c r="K60" s="11">
        <f>COUPNCD(Context!$C$19,C60,2,1)</f>
        <v>45747</v>
      </c>
      <c r="L60" s="11">
        <f>COUPPCD(Context!$C$19,C60,2,1)</f>
        <v>45565</v>
      </c>
      <c r="M60" s="9">
        <f t="shared" si="2"/>
        <v>96.64858774</v>
      </c>
      <c r="N60" s="6">
        <f>(C60-Context!$C$19)/365.25</f>
        <v>1.095140315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 t="s">
        <v>15</v>
      </c>
      <c r="B61" s="7" t="s">
        <v>103</v>
      </c>
      <c r="C61" s="8" t="s">
        <v>102</v>
      </c>
      <c r="D61" s="6">
        <v>97.92578125</v>
      </c>
      <c r="E61" s="6">
        <v>97.9609375</v>
      </c>
      <c r="F61" s="6">
        <v>2.25</v>
      </c>
      <c r="G61" s="6" t="s">
        <v>18</v>
      </c>
      <c r="H61" s="9">
        <f t="shared" si="1"/>
        <v>97.94335938</v>
      </c>
      <c r="I61" s="6">
        <f>DAYS(C61,Context!$C$19)</f>
        <v>400</v>
      </c>
      <c r="J61" s="10">
        <f>ACCRINT(L61,K61,Context!$C$19,F61/100,100,2,1)</f>
        <v>0.9086538462</v>
      </c>
      <c r="K61" s="11">
        <f>COUPNCD(Context!$C$19,C61,2,1)</f>
        <v>45747</v>
      </c>
      <c r="L61" s="11">
        <f>COUPPCD(Context!$C$19,C61,2,1)</f>
        <v>45565</v>
      </c>
      <c r="M61" s="9">
        <f t="shared" si="2"/>
        <v>98.85201322</v>
      </c>
      <c r="N61" s="6">
        <f>(C61-Context!$C$19)/365.25</f>
        <v>1.095140315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 t="s">
        <v>15</v>
      </c>
      <c r="B62" s="7" t="s">
        <v>104</v>
      </c>
      <c r="C62" s="8" t="s">
        <v>102</v>
      </c>
      <c r="D62" s="6">
        <v>100.2890625</v>
      </c>
      <c r="E62" s="6">
        <v>100.31640625</v>
      </c>
      <c r="F62" s="6">
        <v>4.5</v>
      </c>
      <c r="G62" s="6" t="s">
        <v>18</v>
      </c>
      <c r="H62" s="9">
        <f t="shared" si="1"/>
        <v>100.3027344</v>
      </c>
      <c r="I62" s="6">
        <f>DAYS(C62,Context!$C$19)</f>
        <v>400</v>
      </c>
      <c r="J62" s="10">
        <f>ACCRINT(L62,K62,Context!$C$19,F62/100,100,2,1)</f>
        <v>1.817307692</v>
      </c>
      <c r="K62" s="11">
        <f>COUPNCD(Context!$C$19,C62,2,1)</f>
        <v>45747</v>
      </c>
      <c r="L62" s="11">
        <f>COUPPCD(Context!$C$19,C62,2,1)</f>
        <v>45565</v>
      </c>
      <c r="M62" s="9">
        <f t="shared" si="2"/>
        <v>102.1200421</v>
      </c>
      <c r="N62" s="6">
        <f>(C62-Context!$C$19)/365.25</f>
        <v>1.095140315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 t="s">
        <v>15</v>
      </c>
      <c r="B63" s="7" t="s">
        <v>105</v>
      </c>
      <c r="C63" s="8" t="s">
        <v>106</v>
      </c>
      <c r="D63" s="6">
        <v>99.4921875</v>
      </c>
      <c r="E63" s="6">
        <v>99.51171875</v>
      </c>
      <c r="F63" s="6">
        <v>3.75</v>
      </c>
      <c r="G63" s="6" t="s">
        <v>18</v>
      </c>
      <c r="H63" s="9">
        <f t="shared" si="1"/>
        <v>99.50195313</v>
      </c>
      <c r="I63" s="6">
        <f>DAYS(C63,Context!$C$19)</f>
        <v>415</v>
      </c>
      <c r="J63" s="10">
        <f>ACCRINT(L63,K63,Context!$C$19,F63/100,100,2,1)</f>
        <v>1.35989011</v>
      </c>
      <c r="K63" s="11">
        <f>COUPNCD(Context!$C$19,C63,2,1)</f>
        <v>45762</v>
      </c>
      <c r="L63" s="11">
        <f>COUPPCD(Context!$C$19,C63,2,1)</f>
        <v>45580</v>
      </c>
      <c r="M63" s="9">
        <f t="shared" si="2"/>
        <v>100.8618432</v>
      </c>
      <c r="N63" s="6">
        <f>(C63-Context!$C$19)/365.25</f>
        <v>1.136208077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 t="s">
        <v>15</v>
      </c>
      <c r="B64" s="7" t="s">
        <v>107</v>
      </c>
      <c r="C64" s="8" t="s">
        <v>108</v>
      </c>
      <c r="D64" s="6">
        <v>97.92578125</v>
      </c>
      <c r="E64" s="6">
        <v>97.95703125</v>
      </c>
      <c r="F64" s="6">
        <v>2.375</v>
      </c>
      <c r="G64" s="6" t="s">
        <v>18</v>
      </c>
      <c r="H64" s="9">
        <f t="shared" si="1"/>
        <v>97.94140625</v>
      </c>
      <c r="I64" s="6">
        <f>DAYS(C64,Context!$C$19)</f>
        <v>430</v>
      </c>
      <c r="J64" s="10">
        <f>ACCRINT(L64,K64,Context!$C$19,F64/100,100,2,1)</f>
        <v>0.7633928571</v>
      </c>
      <c r="K64" s="11">
        <f>COUPNCD(Context!$C$19,C64,2,1)</f>
        <v>45777</v>
      </c>
      <c r="L64" s="11">
        <f>COUPPCD(Context!$C$19,C64,2,1)</f>
        <v>45595</v>
      </c>
      <c r="M64" s="9">
        <f t="shared" si="2"/>
        <v>98.70479911</v>
      </c>
      <c r="N64" s="6">
        <f>(C64-Context!$C$19)/365.25</f>
        <v>1.177275838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 t="s">
        <v>15</v>
      </c>
      <c r="B65" s="7" t="s">
        <v>109</v>
      </c>
      <c r="C65" s="8" t="s">
        <v>108</v>
      </c>
      <c r="D65" s="6">
        <v>96.07421875</v>
      </c>
      <c r="E65" s="6">
        <v>96.10546875</v>
      </c>
      <c r="F65" s="6">
        <v>0.75</v>
      </c>
      <c r="G65" s="6" t="s">
        <v>18</v>
      </c>
      <c r="H65" s="9">
        <f t="shared" si="1"/>
        <v>96.08984375</v>
      </c>
      <c r="I65" s="6">
        <f>DAYS(C65,Context!$C$19)</f>
        <v>430</v>
      </c>
      <c r="J65" s="10">
        <f>ACCRINT(L65,K65,Context!$C$19,F65/100,100,2,1)</f>
        <v>0.2410714286</v>
      </c>
      <c r="K65" s="11">
        <f>COUPNCD(Context!$C$19,C65,2,1)</f>
        <v>45777</v>
      </c>
      <c r="L65" s="11">
        <f>COUPPCD(Context!$C$19,C65,2,1)</f>
        <v>45595</v>
      </c>
      <c r="M65" s="9">
        <f t="shared" si="2"/>
        <v>96.33091518</v>
      </c>
      <c r="N65" s="6">
        <f>(C65-Context!$C$19)/365.25</f>
        <v>1.177275838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 t="s">
        <v>15</v>
      </c>
      <c r="B66" s="7" t="s">
        <v>110</v>
      </c>
      <c r="C66" s="8" t="s">
        <v>108</v>
      </c>
      <c r="D66" s="6">
        <v>100.74609375</v>
      </c>
      <c r="E66" s="6">
        <v>100.765625</v>
      </c>
      <c r="F66" s="6">
        <v>4.875</v>
      </c>
      <c r="G66" s="6" t="s">
        <v>18</v>
      </c>
      <c r="H66" s="9">
        <f t="shared" si="1"/>
        <v>100.7558594</v>
      </c>
      <c r="I66" s="6">
        <f>DAYS(C66,Context!$C$19)</f>
        <v>430</v>
      </c>
      <c r="J66" s="10">
        <f>ACCRINT(L66,K66,Context!$C$19,F66/100,100,2,1)</f>
        <v>1.566964286</v>
      </c>
      <c r="K66" s="11">
        <f>COUPNCD(Context!$C$19,C66,2,1)</f>
        <v>45777</v>
      </c>
      <c r="L66" s="11">
        <f>COUPPCD(Context!$C$19,C66,2,1)</f>
        <v>45595</v>
      </c>
      <c r="M66" s="9">
        <f t="shared" si="2"/>
        <v>102.3228237</v>
      </c>
      <c r="N66" s="6">
        <f>(C66-Context!$C$19)/365.25</f>
        <v>1.177275838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 t="s">
        <v>15</v>
      </c>
      <c r="B67" s="7" t="s">
        <v>111</v>
      </c>
      <c r="C67" s="8" t="s">
        <v>112</v>
      </c>
      <c r="D67" s="6">
        <v>99.3203125</v>
      </c>
      <c r="E67" s="6">
        <v>99.34765625</v>
      </c>
      <c r="F67" s="6">
        <v>3.625</v>
      </c>
      <c r="G67" s="6" t="s">
        <v>18</v>
      </c>
      <c r="H67" s="9">
        <f t="shared" si="1"/>
        <v>99.33398438</v>
      </c>
      <c r="I67" s="6">
        <f>DAYS(C67,Context!$C$19)</f>
        <v>445</v>
      </c>
      <c r="J67" s="10">
        <f>ACCRINT(L67,K67,Context!$C$19,F67/100,100,2,1)</f>
        <v>1.011395028</v>
      </c>
      <c r="K67" s="11">
        <f>COUPNCD(Context!$C$19,C67,2,1)</f>
        <v>45792</v>
      </c>
      <c r="L67" s="11">
        <f>COUPPCD(Context!$C$19,C67,2,1)</f>
        <v>45611</v>
      </c>
      <c r="M67" s="9">
        <f t="shared" si="2"/>
        <v>100.3453794</v>
      </c>
      <c r="N67" s="6">
        <f>(C67-Context!$C$19)/365.25</f>
        <v>1.2183436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 t="s">
        <v>15</v>
      </c>
      <c r="B68" s="7" t="s">
        <v>113</v>
      </c>
      <c r="C68" s="8" t="s">
        <v>112</v>
      </c>
      <c r="D68" s="6">
        <v>96.97265625</v>
      </c>
      <c r="E68" s="6">
        <v>97.0078125</v>
      </c>
      <c r="F68" s="6">
        <v>1.625</v>
      </c>
      <c r="G68" s="6" t="s">
        <v>18</v>
      </c>
      <c r="H68" s="9">
        <f t="shared" si="1"/>
        <v>96.99023438</v>
      </c>
      <c r="I68" s="6">
        <f>DAYS(C68,Context!$C$19)</f>
        <v>445</v>
      </c>
      <c r="J68" s="10">
        <f>ACCRINT(L68,K68,Context!$C$19,F68/100,100,2,1)</f>
        <v>0.4533839779</v>
      </c>
      <c r="K68" s="11">
        <f>COUPNCD(Context!$C$19,C68,2,1)</f>
        <v>45792</v>
      </c>
      <c r="L68" s="11">
        <f>COUPPCD(Context!$C$19,C68,2,1)</f>
        <v>45611</v>
      </c>
      <c r="M68" s="9">
        <f t="shared" si="2"/>
        <v>97.44361835</v>
      </c>
      <c r="N68" s="6">
        <f>(C68-Context!$C$19)/365.25</f>
        <v>1.2183436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 t="s">
        <v>15</v>
      </c>
      <c r="B69" s="7" t="s">
        <v>114</v>
      </c>
      <c r="C69" s="8" t="s">
        <v>115</v>
      </c>
      <c r="D69" s="6">
        <v>97.46875</v>
      </c>
      <c r="E69" s="6">
        <v>97.5</v>
      </c>
      <c r="F69" s="6">
        <v>2.125</v>
      </c>
      <c r="G69" s="6" t="s">
        <v>18</v>
      </c>
      <c r="H69" s="9">
        <f t="shared" si="1"/>
        <v>97.484375</v>
      </c>
      <c r="I69" s="6">
        <f>DAYS(C69,Context!$C$19)</f>
        <v>461</v>
      </c>
      <c r="J69" s="10">
        <f>ACCRINT(L69,K69,Context!$C$19,F69/100,100,2,1)</f>
        <v>0.5020604396</v>
      </c>
      <c r="K69" s="11">
        <f>COUPNCD(Context!$C$19,C69,2,1)</f>
        <v>45808</v>
      </c>
      <c r="L69" s="11">
        <f>COUPPCD(Context!$C$19,C69,2,1)</f>
        <v>45626</v>
      </c>
      <c r="M69" s="9">
        <f t="shared" si="2"/>
        <v>97.98643544</v>
      </c>
      <c r="N69" s="6">
        <f>(C69-Context!$C$19)/365.25</f>
        <v>1.262149213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 t="s">
        <v>15</v>
      </c>
      <c r="B70" s="7" t="s">
        <v>116</v>
      </c>
      <c r="C70" s="8" t="s">
        <v>115</v>
      </c>
      <c r="D70" s="6">
        <v>100.8046875</v>
      </c>
      <c r="E70" s="6">
        <v>100.828125</v>
      </c>
      <c r="F70" s="6">
        <v>4.875</v>
      </c>
      <c r="G70" s="6" t="s">
        <v>18</v>
      </c>
      <c r="H70" s="9">
        <f t="shared" si="1"/>
        <v>100.8164063</v>
      </c>
      <c r="I70" s="6">
        <f>DAYS(C70,Context!$C$19)</f>
        <v>461</v>
      </c>
      <c r="J70" s="10">
        <f>ACCRINT(L70,K70,Context!$C$19,F70/100,100,2,1)</f>
        <v>1.151785714</v>
      </c>
      <c r="K70" s="11">
        <f>COUPNCD(Context!$C$19,C70,2,1)</f>
        <v>45808</v>
      </c>
      <c r="L70" s="11">
        <f>COUPPCD(Context!$C$19,C70,2,1)</f>
        <v>45626</v>
      </c>
      <c r="M70" s="9">
        <f t="shared" si="2"/>
        <v>101.968192</v>
      </c>
      <c r="N70" s="6">
        <f>(C70-Context!$C$19)/365.25</f>
        <v>1.262149213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 t="s">
        <v>15</v>
      </c>
      <c r="B71" s="7" t="s">
        <v>117</v>
      </c>
      <c r="C71" s="8" t="s">
        <v>115</v>
      </c>
      <c r="D71" s="6">
        <v>95.8046875</v>
      </c>
      <c r="E71" s="6">
        <v>95.8359375</v>
      </c>
      <c r="F71" s="6">
        <v>0.75</v>
      </c>
      <c r="G71" s="6" t="s">
        <v>18</v>
      </c>
      <c r="H71" s="9">
        <f t="shared" si="1"/>
        <v>95.8203125</v>
      </c>
      <c r="I71" s="6">
        <f>DAYS(C71,Context!$C$19)</f>
        <v>461</v>
      </c>
      <c r="J71" s="10">
        <f>ACCRINT(L71,K71,Context!$C$19,F71/100,100,2,1)</f>
        <v>0.1771978022</v>
      </c>
      <c r="K71" s="11">
        <f>COUPNCD(Context!$C$19,C71,2,1)</f>
        <v>45808</v>
      </c>
      <c r="L71" s="11">
        <f>COUPPCD(Context!$C$19,C71,2,1)</f>
        <v>45626</v>
      </c>
      <c r="M71" s="9">
        <f t="shared" si="2"/>
        <v>95.9975103</v>
      </c>
      <c r="N71" s="6">
        <f>(C71-Context!$C$19)/365.25</f>
        <v>1.262149213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 t="s">
        <v>15</v>
      </c>
      <c r="B72" s="7" t="s">
        <v>118</v>
      </c>
      <c r="C72" s="8" t="s">
        <v>119</v>
      </c>
      <c r="D72" s="6">
        <v>99.921875</v>
      </c>
      <c r="E72" s="6">
        <v>99.94140625</v>
      </c>
      <c r="F72" s="6">
        <v>4.125</v>
      </c>
      <c r="G72" s="6" t="s">
        <v>18</v>
      </c>
      <c r="H72" s="9">
        <f t="shared" si="1"/>
        <v>99.93164063</v>
      </c>
      <c r="I72" s="6">
        <f>DAYS(C72,Context!$C$19)</f>
        <v>476</v>
      </c>
      <c r="J72" s="10">
        <f>ACCRINT(L72,K72,Context!$C$19,F72/100,100,2,1)</f>
        <v>0.8046016484</v>
      </c>
      <c r="K72" s="11">
        <f>COUPNCD(Context!$C$19,C72,2,1)</f>
        <v>45823</v>
      </c>
      <c r="L72" s="11">
        <f>COUPPCD(Context!$C$19,C72,2,1)</f>
        <v>45641</v>
      </c>
      <c r="M72" s="9">
        <f t="shared" si="2"/>
        <v>100.7362423</v>
      </c>
      <c r="N72" s="6">
        <f>(C72-Context!$C$19)/365.25</f>
        <v>1.303216975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 t="s">
        <v>15</v>
      </c>
      <c r="B73" s="7" t="s">
        <v>120</v>
      </c>
      <c r="C73" s="8" t="s">
        <v>121</v>
      </c>
      <c r="D73" s="6">
        <v>95.703125</v>
      </c>
      <c r="E73" s="6">
        <v>95.734375</v>
      </c>
      <c r="F73" s="6">
        <v>0.875</v>
      </c>
      <c r="G73" s="6" t="s">
        <v>18</v>
      </c>
      <c r="H73" s="9">
        <f t="shared" si="1"/>
        <v>95.71875</v>
      </c>
      <c r="I73" s="6">
        <f>DAYS(C73,Context!$C$19)</f>
        <v>491</v>
      </c>
      <c r="J73" s="10">
        <f>ACCRINT(L73,K73,Context!$C$19,F73/100,100,2,1)</f>
        <v>0.1346153846</v>
      </c>
      <c r="K73" s="11">
        <f>COUPNCD(Context!$C$19,C73,2,1)</f>
        <v>45838</v>
      </c>
      <c r="L73" s="11">
        <f>COUPPCD(Context!$C$19,C73,2,1)</f>
        <v>45656</v>
      </c>
      <c r="M73" s="9">
        <f t="shared" si="2"/>
        <v>95.85336538</v>
      </c>
      <c r="N73" s="6">
        <f>(C73-Context!$C$19)/365.25</f>
        <v>1.344284736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 t="s">
        <v>15</v>
      </c>
      <c r="B74" s="7" t="s">
        <v>122</v>
      </c>
      <c r="C74" s="8" t="s">
        <v>121</v>
      </c>
      <c r="D74" s="6">
        <v>97.01171875</v>
      </c>
      <c r="E74" s="6">
        <v>97.04296875</v>
      </c>
      <c r="F74" s="6">
        <v>1.875</v>
      </c>
      <c r="G74" s="6" t="s">
        <v>18</v>
      </c>
      <c r="H74" s="9">
        <f t="shared" si="1"/>
        <v>97.02734375</v>
      </c>
      <c r="I74" s="6">
        <f>DAYS(C74,Context!$C$19)</f>
        <v>491</v>
      </c>
      <c r="J74" s="10">
        <f>ACCRINT(L74,K74,Context!$C$19,F74/100,100,2,1)</f>
        <v>0.2884615385</v>
      </c>
      <c r="K74" s="11">
        <f>COUPNCD(Context!$C$19,C74,2,1)</f>
        <v>45838</v>
      </c>
      <c r="L74" s="11">
        <f>COUPPCD(Context!$C$19,C74,2,1)</f>
        <v>45656</v>
      </c>
      <c r="M74" s="9">
        <f t="shared" si="2"/>
        <v>97.31580529</v>
      </c>
      <c r="N74" s="6">
        <f>(C74-Context!$C$19)/365.25</f>
        <v>1.344284736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 t="s">
        <v>15</v>
      </c>
      <c r="B75" s="7" t="s">
        <v>123</v>
      </c>
      <c r="C75" s="8" t="s">
        <v>121</v>
      </c>
      <c r="D75" s="6">
        <v>100.5703125</v>
      </c>
      <c r="E75" s="6">
        <v>100.5859375</v>
      </c>
      <c r="F75" s="6">
        <v>4.625</v>
      </c>
      <c r="G75" s="6" t="s">
        <v>18</v>
      </c>
      <c r="H75" s="9">
        <f t="shared" si="1"/>
        <v>100.578125</v>
      </c>
      <c r="I75" s="6">
        <f>DAYS(C75,Context!$C$19)</f>
        <v>491</v>
      </c>
      <c r="J75" s="10">
        <f>ACCRINT(L75,K75,Context!$C$19,F75/100,100,2,1)</f>
        <v>0.7115384615</v>
      </c>
      <c r="K75" s="11">
        <f>COUPNCD(Context!$C$19,C75,2,1)</f>
        <v>45838</v>
      </c>
      <c r="L75" s="11">
        <f>COUPPCD(Context!$C$19,C75,2,1)</f>
        <v>45656</v>
      </c>
      <c r="M75" s="9">
        <f t="shared" si="2"/>
        <v>101.2896635</v>
      </c>
      <c r="N75" s="6">
        <f>(C75-Context!$C$19)/365.25</f>
        <v>1.344284736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 t="s">
        <v>15</v>
      </c>
      <c r="B76" s="7" t="s">
        <v>124</v>
      </c>
      <c r="C76" s="8" t="s">
        <v>125</v>
      </c>
      <c r="D76" s="6">
        <v>100.42578125</v>
      </c>
      <c r="E76" s="6">
        <v>100.44140625</v>
      </c>
      <c r="F76" s="6">
        <v>4.5</v>
      </c>
      <c r="G76" s="6" t="s">
        <v>18</v>
      </c>
      <c r="H76" s="9">
        <f t="shared" si="1"/>
        <v>100.4335938</v>
      </c>
      <c r="I76" s="6">
        <f>DAYS(C76,Context!$C$19)</f>
        <v>506</v>
      </c>
      <c r="J76" s="10">
        <f>ACCRINT(L76,K76,Context!$C$19,F76/100,100,2,1)</f>
        <v>0.4972375691</v>
      </c>
      <c r="K76" s="11">
        <f>COUPNCD(Context!$C$19,C76,2,1)</f>
        <v>45853</v>
      </c>
      <c r="L76" s="11">
        <f>COUPPCD(Context!$C$19,C76,2,1)</f>
        <v>45672</v>
      </c>
      <c r="M76" s="9">
        <f t="shared" si="2"/>
        <v>100.9308313</v>
      </c>
      <c r="N76" s="6">
        <f>(C76-Context!$C$19)/365.25</f>
        <v>1.385352498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 t="s">
        <v>15</v>
      </c>
      <c r="B77" s="7" t="s">
        <v>126</v>
      </c>
      <c r="C77" s="8" t="s">
        <v>127</v>
      </c>
      <c r="D77" s="6">
        <v>96.8359375</v>
      </c>
      <c r="E77" s="6">
        <v>96.86328125</v>
      </c>
      <c r="F77" s="6">
        <v>1.875</v>
      </c>
      <c r="G77" s="6" t="s">
        <v>18</v>
      </c>
      <c r="H77" s="9">
        <f t="shared" si="1"/>
        <v>96.84960938</v>
      </c>
      <c r="I77" s="6">
        <f>DAYS(C77,Context!$C$19)</f>
        <v>522</v>
      </c>
      <c r="J77" s="10">
        <f>ACCRINT(L77,K77,Context!$C$19,F77/100,100,2,1)</f>
        <v>0.1243093923</v>
      </c>
      <c r="K77" s="11">
        <f>COUPNCD(Context!$C$19,C77,2,1)</f>
        <v>45869</v>
      </c>
      <c r="L77" s="11">
        <f>COUPPCD(Context!$C$19,C77,2,1)</f>
        <v>45688</v>
      </c>
      <c r="M77" s="9">
        <f t="shared" si="2"/>
        <v>96.97391877</v>
      </c>
      <c r="N77" s="6">
        <f>(C77-Context!$C$19)/365.25</f>
        <v>1.429158111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 t="s">
        <v>15</v>
      </c>
      <c r="B78" s="7" t="s">
        <v>128</v>
      </c>
      <c r="C78" s="8" t="s">
        <v>127</v>
      </c>
      <c r="D78" s="6">
        <v>100.2578125</v>
      </c>
      <c r="E78" s="6">
        <v>100.28125</v>
      </c>
      <c r="F78" s="6">
        <v>4.375</v>
      </c>
      <c r="G78" s="6" t="s">
        <v>18</v>
      </c>
      <c r="H78" s="9">
        <f t="shared" si="1"/>
        <v>100.2695313</v>
      </c>
      <c r="I78" s="6">
        <f>DAYS(C78,Context!$C$19)</f>
        <v>522</v>
      </c>
      <c r="J78" s="10">
        <f>ACCRINT(L78,K78,Context!$C$19,F78/100,100,2,1)</f>
        <v>0.2900552486</v>
      </c>
      <c r="K78" s="11">
        <f>COUPNCD(Context!$C$19,C78,2,1)</f>
        <v>45869</v>
      </c>
      <c r="L78" s="11">
        <f>COUPPCD(Context!$C$19,C78,2,1)</f>
        <v>45688</v>
      </c>
      <c r="M78" s="9">
        <f t="shared" si="2"/>
        <v>100.5595865</v>
      </c>
      <c r="N78" s="6">
        <f>(C78-Context!$C$19)/365.25</f>
        <v>1.429158111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 t="s">
        <v>15</v>
      </c>
      <c r="B79" s="7" t="s">
        <v>129</v>
      </c>
      <c r="C79" s="8" t="s">
        <v>127</v>
      </c>
      <c r="D79" s="6">
        <v>95.11328125</v>
      </c>
      <c r="E79" s="6">
        <v>95.14453125</v>
      </c>
      <c r="F79" s="6">
        <v>0.625</v>
      </c>
      <c r="G79" s="6" t="s">
        <v>18</v>
      </c>
      <c r="H79" s="9">
        <f t="shared" si="1"/>
        <v>95.12890625</v>
      </c>
      <c r="I79" s="6">
        <f>DAYS(C79,Context!$C$19)</f>
        <v>522</v>
      </c>
      <c r="J79" s="10">
        <f>ACCRINT(L79,K79,Context!$C$19,F79/100,100,2,1)</f>
        <v>0.04143646409</v>
      </c>
      <c r="K79" s="11">
        <f>COUPNCD(Context!$C$19,C79,2,1)</f>
        <v>45869</v>
      </c>
      <c r="L79" s="11">
        <f>COUPPCD(Context!$C$19,C79,2,1)</f>
        <v>45688</v>
      </c>
      <c r="M79" s="9">
        <f t="shared" si="2"/>
        <v>95.17034271</v>
      </c>
      <c r="N79" s="6">
        <f>(C79-Context!$C$19)/365.25</f>
        <v>1.429158111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 t="s">
        <v>15</v>
      </c>
      <c r="B80" s="7" t="s">
        <v>130</v>
      </c>
      <c r="C80" s="8" t="s">
        <v>131</v>
      </c>
      <c r="D80" s="6">
        <v>103.53515625</v>
      </c>
      <c r="E80" s="6">
        <v>104.0859375</v>
      </c>
      <c r="F80" s="6">
        <v>6.75</v>
      </c>
      <c r="G80" s="6" t="s">
        <v>18</v>
      </c>
      <c r="H80" s="9">
        <f t="shared" si="1"/>
        <v>103.8105469</v>
      </c>
      <c r="I80" s="6">
        <f>DAYS(C80,Context!$C$19)</f>
        <v>537</v>
      </c>
      <c r="J80" s="10">
        <f>ACCRINT(L80,K80,Context!$C$19,F80/100,100,2,1)</f>
        <v>0.1678176796</v>
      </c>
      <c r="K80" s="11">
        <f>COUPNCD(Context!$C$19,C80,2,1)</f>
        <v>45884</v>
      </c>
      <c r="L80" s="11">
        <f>COUPPCD(Context!$C$19,C80,2,1)</f>
        <v>45703</v>
      </c>
      <c r="M80" s="9">
        <f t="shared" si="2"/>
        <v>103.9783646</v>
      </c>
      <c r="N80" s="6">
        <f>(C80-Context!$C$19)/365.25</f>
        <v>1.470225873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 t="s">
        <v>15</v>
      </c>
      <c r="B81" s="7" t="s">
        <v>132</v>
      </c>
      <c r="C81" s="8" t="s">
        <v>131</v>
      </c>
      <c r="D81" s="6">
        <v>96.21875</v>
      </c>
      <c r="E81" s="6">
        <v>96.25</v>
      </c>
      <c r="F81" s="6">
        <v>1.5</v>
      </c>
      <c r="G81" s="6" t="s">
        <v>18</v>
      </c>
      <c r="H81" s="9">
        <f t="shared" si="1"/>
        <v>96.234375</v>
      </c>
      <c r="I81" s="6">
        <f>DAYS(C81,Context!$C$19)</f>
        <v>537</v>
      </c>
      <c r="J81" s="10">
        <f>ACCRINT(L81,K81,Context!$C$19,F81/100,100,2,1)</f>
        <v>0.03729281768</v>
      </c>
      <c r="K81" s="11">
        <f>COUPNCD(Context!$C$19,C81,2,1)</f>
        <v>45884</v>
      </c>
      <c r="L81" s="11">
        <f>COUPPCD(Context!$C$19,C81,2,1)</f>
        <v>45703</v>
      </c>
      <c r="M81" s="9">
        <f t="shared" si="2"/>
        <v>96.27166782</v>
      </c>
      <c r="N81" s="6">
        <f>(C81-Context!$C$19)/365.25</f>
        <v>1.470225873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 t="s">
        <v>15</v>
      </c>
      <c r="B82" s="7" t="s">
        <v>133</v>
      </c>
      <c r="C82" s="8" t="s">
        <v>131</v>
      </c>
      <c r="D82" s="6">
        <v>100.26953125</v>
      </c>
      <c r="E82" s="6">
        <v>100.2890625</v>
      </c>
      <c r="F82" s="6">
        <v>4.375</v>
      </c>
      <c r="G82" s="6" t="s">
        <v>18</v>
      </c>
      <c r="H82" s="9">
        <f t="shared" si="1"/>
        <v>100.2792969</v>
      </c>
      <c r="I82" s="6">
        <f>DAYS(C82,Context!$C$19)</f>
        <v>537</v>
      </c>
      <c r="J82" s="10">
        <f>ACCRINT(L82,K82,Context!$C$19,F82/100,100,2,1)</f>
        <v>0.1087707182</v>
      </c>
      <c r="K82" s="11">
        <f>COUPNCD(Context!$C$19,C82,2,1)</f>
        <v>45884</v>
      </c>
      <c r="L82" s="11">
        <f>COUPPCD(Context!$C$19,C82,2,1)</f>
        <v>45703</v>
      </c>
      <c r="M82" s="9">
        <f t="shared" si="2"/>
        <v>100.3880676</v>
      </c>
      <c r="N82" s="6">
        <f>(C82-Context!$C$19)/365.25</f>
        <v>1.470225873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 t="s">
        <v>15</v>
      </c>
      <c r="B83" s="7" t="s">
        <v>134</v>
      </c>
      <c r="C83" s="8" t="s">
        <v>135</v>
      </c>
      <c r="D83" s="6">
        <v>95.01953125</v>
      </c>
      <c r="E83" s="6">
        <v>95.05078125</v>
      </c>
      <c r="F83" s="6">
        <v>0.75</v>
      </c>
      <c r="G83" s="6" t="s">
        <v>18</v>
      </c>
      <c r="H83" s="9">
        <f t="shared" si="1"/>
        <v>95.03515625</v>
      </c>
      <c r="I83" s="6">
        <f>DAYS(C83,Context!$C$19)</f>
        <v>553</v>
      </c>
      <c r="J83" s="10">
        <f>ACCRINT(L83,K83,Context!$C$19,F83/100,100,2,1)</f>
        <v>0.3607336957</v>
      </c>
      <c r="K83" s="11">
        <f>COUPNCD(Context!$C$19,C83,2,1)</f>
        <v>45716</v>
      </c>
      <c r="L83" s="11">
        <f>COUPPCD(Context!$C$19,C83,2,1)</f>
        <v>45535</v>
      </c>
      <c r="M83" s="9">
        <f t="shared" si="2"/>
        <v>95.39588995</v>
      </c>
      <c r="N83" s="6">
        <f>(C83-Context!$C$19)/365.25</f>
        <v>1.514031485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 t="s">
        <v>15</v>
      </c>
      <c r="B84" s="7" t="s">
        <v>136</v>
      </c>
      <c r="C84" s="8" t="s">
        <v>135</v>
      </c>
      <c r="D84" s="6">
        <v>95.94921875</v>
      </c>
      <c r="E84" s="6">
        <v>95.9765625</v>
      </c>
      <c r="F84" s="6">
        <v>1.375</v>
      </c>
      <c r="G84" s="6" t="s">
        <v>18</v>
      </c>
      <c r="H84" s="9">
        <f t="shared" si="1"/>
        <v>95.96289063</v>
      </c>
      <c r="I84" s="6">
        <f>DAYS(C84,Context!$C$19)</f>
        <v>553</v>
      </c>
      <c r="J84" s="10">
        <f>ACCRINT(L84,K84,Context!$C$19,F84/100,100,2,1)</f>
        <v>0.6613451087</v>
      </c>
      <c r="K84" s="11">
        <f>COUPNCD(Context!$C$19,C84,2,1)</f>
        <v>45716</v>
      </c>
      <c r="L84" s="11">
        <f>COUPPCD(Context!$C$19,C84,2,1)</f>
        <v>45535</v>
      </c>
      <c r="M84" s="9">
        <f t="shared" si="2"/>
        <v>96.62423573</v>
      </c>
      <c r="N84" s="6">
        <f>(C84-Context!$C$19)/365.25</f>
        <v>1.514031485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 t="s">
        <v>15</v>
      </c>
      <c r="B85" s="7" t="s">
        <v>137</v>
      </c>
      <c r="C85" s="8" t="s">
        <v>135</v>
      </c>
      <c r="D85" s="6">
        <v>99.36328125</v>
      </c>
      <c r="E85" s="6">
        <v>99.38671875</v>
      </c>
      <c r="F85" s="6">
        <v>3.75</v>
      </c>
      <c r="G85" s="6" t="s">
        <v>18</v>
      </c>
      <c r="H85" s="9">
        <f t="shared" si="1"/>
        <v>99.375</v>
      </c>
      <c r="I85" s="6">
        <f>DAYS(C85,Context!$C$19)</f>
        <v>553</v>
      </c>
      <c r="J85" s="10">
        <f>ACCRINT(L85,K85,Context!$C$19,F85/100,100,2,1)</f>
        <v>1.803668478</v>
      </c>
      <c r="K85" s="11">
        <f>COUPNCD(Context!$C$19,C85,2,1)</f>
        <v>45716</v>
      </c>
      <c r="L85" s="11">
        <f>COUPPCD(Context!$C$19,C85,2,1)</f>
        <v>45535</v>
      </c>
      <c r="M85" s="9">
        <f t="shared" si="2"/>
        <v>101.1786685</v>
      </c>
      <c r="N85" s="6">
        <f>(C85-Context!$C$19)/365.25</f>
        <v>1.514031485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 t="s">
        <v>15</v>
      </c>
      <c r="B86" s="7" t="s">
        <v>138</v>
      </c>
      <c r="C86" s="8" t="s">
        <v>139</v>
      </c>
      <c r="D86" s="6">
        <v>100.6640625</v>
      </c>
      <c r="E86" s="6">
        <v>100.68359375</v>
      </c>
      <c r="F86" s="6">
        <v>4.625</v>
      </c>
      <c r="G86" s="6" t="s">
        <v>18</v>
      </c>
      <c r="H86" s="9">
        <f t="shared" si="1"/>
        <v>100.6738281</v>
      </c>
      <c r="I86" s="6">
        <f>DAYS(C86,Context!$C$19)</f>
        <v>568</v>
      </c>
      <c r="J86" s="10">
        <f>ACCRINT(L86,K86,Context!$C$19,F86/100,100,2,1)</f>
        <v>2.069751381</v>
      </c>
      <c r="K86" s="11">
        <f>COUPNCD(Context!$C$19,C86,2,1)</f>
        <v>45731</v>
      </c>
      <c r="L86" s="11">
        <f>COUPPCD(Context!$C$19,C86,2,1)</f>
        <v>45550</v>
      </c>
      <c r="M86" s="9">
        <f t="shared" si="2"/>
        <v>102.7435795</v>
      </c>
      <c r="N86" s="6">
        <f>(C86-Context!$C$19)/365.25</f>
        <v>1.555099247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 t="s">
        <v>15</v>
      </c>
      <c r="B87" s="7" t="s">
        <v>140</v>
      </c>
      <c r="C87" s="8" t="s">
        <v>141</v>
      </c>
      <c r="D87" s="6">
        <v>96.12109375</v>
      </c>
      <c r="E87" s="6">
        <v>96.1484375</v>
      </c>
      <c r="F87" s="6">
        <v>1.625</v>
      </c>
      <c r="G87" s="6" t="s">
        <v>18</v>
      </c>
      <c r="H87" s="9">
        <f t="shared" si="1"/>
        <v>96.13476563</v>
      </c>
      <c r="I87" s="6">
        <f>DAYS(C87,Context!$C$19)</f>
        <v>583</v>
      </c>
      <c r="J87" s="10">
        <f>ACCRINT(L87,K87,Context!$C$19,F87/100,100,2,1)</f>
        <v>0.6598756906</v>
      </c>
      <c r="K87" s="11">
        <f>COUPNCD(Context!$C$19,C87,2,1)</f>
        <v>45746</v>
      </c>
      <c r="L87" s="11">
        <f>COUPPCD(Context!$C$19,C87,2,1)</f>
        <v>45565</v>
      </c>
      <c r="M87" s="9">
        <f t="shared" si="2"/>
        <v>96.79464132</v>
      </c>
      <c r="N87" s="6">
        <f>(C87-Context!$C$19)/365.25</f>
        <v>1.596167009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 t="s">
        <v>15</v>
      </c>
      <c r="B88" s="7" t="s">
        <v>142</v>
      </c>
      <c r="C88" s="8" t="s">
        <v>141</v>
      </c>
      <c r="D88" s="6">
        <v>94.953125</v>
      </c>
      <c r="E88" s="6">
        <v>94.98046875</v>
      </c>
      <c r="F88" s="6">
        <v>0.875</v>
      </c>
      <c r="G88" s="6" t="s">
        <v>18</v>
      </c>
      <c r="H88" s="9">
        <f t="shared" si="1"/>
        <v>94.96679688</v>
      </c>
      <c r="I88" s="6">
        <f>DAYS(C88,Context!$C$19)</f>
        <v>583</v>
      </c>
      <c r="J88" s="10">
        <f>ACCRINT(L88,K88,Context!$C$19,F88/100,100,2,1)</f>
        <v>0.3553176796</v>
      </c>
      <c r="K88" s="11">
        <f>COUPNCD(Context!$C$19,C88,2,1)</f>
        <v>45746</v>
      </c>
      <c r="L88" s="11">
        <f>COUPPCD(Context!$C$19,C88,2,1)</f>
        <v>45565</v>
      </c>
      <c r="M88" s="9">
        <f t="shared" si="2"/>
        <v>95.32211455</v>
      </c>
      <c r="N88" s="6">
        <f>(C88-Context!$C$19)/365.25</f>
        <v>1.596167009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 t="s">
        <v>15</v>
      </c>
      <c r="B89" s="7" t="s">
        <v>143</v>
      </c>
      <c r="C89" s="8" t="s">
        <v>141</v>
      </c>
      <c r="D89" s="6">
        <v>98.96484375</v>
      </c>
      <c r="E89" s="6">
        <v>98.98046875</v>
      </c>
      <c r="F89" s="6">
        <v>3.5</v>
      </c>
      <c r="G89" s="6" t="s">
        <v>18</v>
      </c>
      <c r="H89" s="9">
        <f t="shared" si="1"/>
        <v>98.97265625</v>
      </c>
      <c r="I89" s="6">
        <f>DAYS(C89,Context!$C$19)</f>
        <v>583</v>
      </c>
      <c r="J89" s="10">
        <f>ACCRINT(L89,K89,Context!$C$19,F89/100,100,2,1)</f>
        <v>1.421270718</v>
      </c>
      <c r="K89" s="11">
        <f>COUPNCD(Context!$C$19,C89,2,1)</f>
        <v>45746</v>
      </c>
      <c r="L89" s="11">
        <f>COUPPCD(Context!$C$19,C89,2,1)</f>
        <v>45565</v>
      </c>
      <c r="M89" s="9">
        <f t="shared" si="2"/>
        <v>100.393927</v>
      </c>
      <c r="N89" s="6">
        <f>(C89-Context!$C$19)/365.25</f>
        <v>1.596167009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 t="s">
        <v>15</v>
      </c>
      <c r="B90" s="7" t="s">
        <v>144</v>
      </c>
      <c r="C90" s="8" t="s">
        <v>145</v>
      </c>
      <c r="D90" s="6">
        <v>100.6953125</v>
      </c>
      <c r="E90" s="6">
        <v>100.71875</v>
      </c>
      <c r="F90" s="6">
        <v>4.625</v>
      </c>
      <c r="G90" s="6" t="s">
        <v>18</v>
      </c>
      <c r="H90" s="9">
        <f t="shared" si="1"/>
        <v>100.7070313</v>
      </c>
      <c r="I90" s="6">
        <f>DAYS(C90,Context!$C$19)</f>
        <v>598</v>
      </c>
      <c r="J90" s="10">
        <f>ACCRINT(L90,K90,Context!$C$19,F90/100,100,2,1)</f>
        <v>1.677197802</v>
      </c>
      <c r="K90" s="11">
        <f>COUPNCD(Context!$C$19,C90,2,1)</f>
        <v>45762</v>
      </c>
      <c r="L90" s="11">
        <f>COUPPCD(Context!$C$19,C90,2,1)</f>
        <v>45580</v>
      </c>
      <c r="M90" s="9">
        <f t="shared" si="2"/>
        <v>102.3842291</v>
      </c>
      <c r="N90" s="6">
        <f>(C90-Context!$C$19)/365.25</f>
        <v>1.637234771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 t="s">
        <v>15</v>
      </c>
      <c r="B91" s="7" t="s">
        <v>146</v>
      </c>
      <c r="C91" s="8" t="s">
        <v>147</v>
      </c>
      <c r="D91" s="6">
        <v>95.90234375</v>
      </c>
      <c r="E91" s="6">
        <v>95.9296875</v>
      </c>
      <c r="F91" s="6">
        <v>1.625</v>
      </c>
      <c r="G91" s="6" t="s">
        <v>18</v>
      </c>
      <c r="H91" s="9">
        <f t="shared" si="1"/>
        <v>95.91601563</v>
      </c>
      <c r="I91" s="6">
        <f>DAYS(C91,Context!$C$19)</f>
        <v>614</v>
      </c>
      <c r="J91" s="10">
        <f>ACCRINT(L91,K91,Context!$C$19,F91/100,100,2,1)</f>
        <v>0.5178571429</v>
      </c>
      <c r="K91" s="11">
        <f>COUPNCD(Context!$C$19,C91,2,1)</f>
        <v>45777</v>
      </c>
      <c r="L91" s="11">
        <f>COUPPCD(Context!$C$19,C91,2,1)</f>
        <v>45596</v>
      </c>
      <c r="M91" s="9">
        <f t="shared" si="2"/>
        <v>96.43387277</v>
      </c>
      <c r="N91" s="6">
        <f>(C91-Context!$C$19)/365.25</f>
        <v>1.681040383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 t="s">
        <v>15</v>
      </c>
      <c r="B92" s="7" t="s">
        <v>148</v>
      </c>
      <c r="C92" s="8" t="s">
        <v>147</v>
      </c>
      <c r="D92" s="6">
        <v>99.90234375</v>
      </c>
      <c r="E92" s="6">
        <v>99.91015625</v>
      </c>
      <c r="F92" s="6">
        <v>4.125</v>
      </c>
      <c r="G92" s="6" t="s">
        <v>18</v>
      </c>
      <c r="H92" s="9">
        <f t="shared" si="1"/>
        <v>99.90625</v>
      </c>
      <c r="I92" s="6">
        <f>DAYS(C92,Context!$C$19)</f>
        <v>614</v>
      </c>
      <c r="J92" s="10">
        <f>ACCRINT(L92,K92,Context!$C$19,F92/100,100,2,1)</f>
        <v>1.31456044</v>
      </c>
      <c r="K92" s="11">
        <f>COUPNCD(Context!$C$19,C92,2,1)</f>
        <v>45777</v>
      </c>
      <c r="L92" s="11">
        <f>COUPPCD(Context!$C$19,C92,2,1)</f>
        <v>45596</v>
      </c>
      <c r="M92" s="9">
        <f t="shared" si="2"/>
        <v>101.2208104</v>
      </c>
      <c r="N92" s="6">
        <f>(C92-Context!$C$19)/365.25</f>
        <v>1.681040383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 t="s">
        <v>15</v>
      </c>
      <c r="B93" s="7" t="s">
        <v>149</v>
      </c>
      <c r="C93" s="8" t="s">
        <v>147</v>
      </c>
      <c r="D93" s="6">
        <v>95.08984375</v>
      </c>
      <c r="E93" s="6">
        <v>95.1171875</v>
      </c>
      <c r="F93" s="6">
        <v>1.125</v>
      </c>
      <c r="G93" s="6" t="s">
        <v>18</v>
      </c>
      <c r="H93" s="9">
        <f t="shared" si="1"/>
        <v>95.10351563</v>
      </c>
      <c r="I93" s="6">
        <f>DAYS(C93,Context!$C$19)</f>
        <v>614</v>
      </c>
      <c r="J93" s="10">
        <f>ACCRINT(L93,K93,Context!$C$19,F93/100,100,2,1)</f>
        <v>0.3585164835</v>
      </c>
      <c r="K93" s="11">
        <f>COUPNCD(Context!$C$19,C93,2,1)</f>
        <v>45777</v>
      </c>
      <c r="L93" s="11">
        <f>COUPPCD(Context!$C$19,C93,2,1)</f>
        <v>45596</v>
      </c>
      <c r="M93" s="9">
        <f t="shared" si="2"/>
        <v>95.46203211</v>
      </c>
      <c r="N93" s="6">
        <f>(C93-Context!$C$19)/365.25</f>
        <v>1.681040383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 t="s">
        <v>15</v>
      </c>
      <c r="B94" s="7" t="s">
        <v>150</v>
      </c>
      <c r="C94" s="8" t="s">
        <v>151</v>
      </c>
      <c r="D94" s="6">
        <v>104.08203125</v>
      </c>
      <c r="E94" s="6">
        <v>104.58984375</v>
      </c>
      <c r="F94" s="6">
        <v>6.5</v>
      </c>
      <c r="G94" s="6" t="s">
        <v>18</v>
      </c>
      <c r="H94" s="9">
        <f t="shared" si="1"/>
        <v>104.3359375</v>
      </c>
      <c r="I94" s="6">
        <f>DAYS(C94,Context!$C$19)</f>
        <v>629</v>
      </c>
      <c r="J94" s="10">
        <f>ACCRINT(L94,K94,Context!$C$19,F94/100,100,2,1)</f>
        <v>1.813535912</v>
      </c>
      <c r="K94" s="11">
        <f>COUPNCD(Context!$C$19,C94,2,1)</f>
        <v>45792</v>
      </c>
      <c r="L94" s="11">
        <f>COUPPCD(Context!$C$19,C94,2,1)</f>
        <v>45611</v>
      </c>
      <c r="M94" s="9">
        <f t="shared" si="2"/>
        <v>106.1494734</v>
      </c>
      <c r="N94" s="6">
        <f>(C94-Context!$C$19)/365.25</f>
        <v>1.722108145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 t="s">
        <v>15</v>
      </c>
      <c r="B95" s="7" t="s">
        <v>152</v>
      </c>
      <c r="C95" s="8" t="s">
        <v>151</v>
      </c>
      <c r="D95" s="6">
        <v>96.41015625</v>
      </c>
      <c r="E95" s="6">
        <v>96.4453125</v>
      </c>
      <c r="F95" s="6">
        <v>2.0</v>
      </c>
      <c r="G95" s="6" t="s">
        <v>18</v>
      </c>
      <c r="H95" s="9">
        <f t="shared" si="1"/>
        <v>96.42773438</v>
      </c>
      <c r="I95" s="6">
        <f>DAYS(C95,Context!$C$19)</f>
        <v>629</v>
      </c>
      <c r="J95" s="10">
        <f>ACCRINT(L95,K95,Context!$C$19,F95/100,100,2,1)</f>
        <v>0.5580110497</v>
      </c>
      <c r="K95" s="11">
        <f>COUPNCD(Context!$C$19,C95,2,1)</f>
        <v>45792</v>
      </c>
      <c r="L95" s="11">
        <f>COUPPCD(Context!$C$19,C95,2,1)</f>
        <v>45611</v>
      </c>
      <c r="M95" s="9">
        <f t="shared" si="2"/>
        <v>96.98574542</v>
      </c>
      <c r="N95" s="6">
        <f>(C95-Context!$C$19)/365.25</f>
        <v>1.722108145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 t="s">
        <v>15</v>
      </c>
      <c r="B96" s="7" t="s">
        <v>153</v>
      </c>
      <c r="C96" s="8" t="s">
        <v>151</v>
      </c>
      <c r="D96" s="6">
        <v>100.71875</v>
      </c>
      <c r="E96" s="6">
        <v>100.73828125</v>
      </c>
      <c r="F96" s="6">
        <v>4.625</v>
      </c>
      <c r="G96" s="6" t="s">
        <v>18</v>
      </c>
      <c r="H96" s="9">
        <f t="shared" si="1"/>
        <v>100.7285156</v>
      </c>
      <c r="I96" s="6">
        <f>DAYS(C96,Context!$C$19)</f>
        <v>629</v>
      </c>
      <c r="J96" s="10">
        <f>ACCRINT(L96,K96,Context!$C$19,F96/100,100,2,1)</f>
        <v>1.290400552</v>
      </c>
      <c r="K96" s="11">
        <f>COUPNCD(Context!$C$19,C96,2,1)</f>
        <v>45792</v>
      </c>
      <c r="L96" s="11">
        <f>COUPPCD(Context!$C$19,C96,2,1)</f>
        <v>45611</v>
      </c>
      <c r="M96" s="9">
        <f t="shared" si="2"/>
        <v>102.0189162</v>
      </c>
      <c r="N96" s="6">
        <f>(C96-Context!$C$19)/365.25</f>
        <v>1.722108145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 t="s">
        <v>15</v>
      </c>
      <c r="B97" s="7" t="s">
        <v>154</v>
      </c>
      <c r="C97" s="8" t="s">
        <v>155</v>
      </c>
      <c r="D97" s="6">
        <v>95.08984375</v>
      </c>
      <c r="E97" s="6">
        <v>95.12109375</v>
      </c>
      <c r="F97" s="6">
        <v>1.25</v>
      </c>
      <c r="G97" s="6" t="s">
        <v>18</v>
      </c>
      <c r="H97" s="9">
        <f t="shared" si="1"/>
        <v>95.10546875</v>
      </c>
      <c r="I97" s="6">
        <f>DAYS(C97,Context!$C$19)</f>
        <v>644</v>
      </c>
      <c r="J97" s="10">
        <f>ACCRINT(L97,K97,Context!$C$19,F97/100,100,2,1)</f>
        <v>0.296961326</v>
      </c>
      <c r="K97" s="11">
        <f>COUPNCD(Context!$C$19,C97,2,1)</f>
        <v>45807</v>
      </c>
      <c r="L97" s="11">
        <f>COUPPCD(Context!$C$19,C97,2,1)</f>
        <v>45626</v>
      </c>
      <c r="M97" s="9">
        <f t="shared" si="2"/>
        <v>95.40243008</v>
      </c>
      <c r="N97" s="6">
        <f>(C97-Context!$C$19)/365.25</f>
        <v>1.763175907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 t="s">
        <v>15</v>
      </c>
      <c r="B98" s="7" t="s">
        <v>156</v>
      </c>
      <c r="C98" s="8" t="s">
        <v>155</v>
      </c>
      <c r="D98" s="6">
        <v>95.72265625</v>
      </c>
      <c r="E98" s="6">
        <v>95.75</v>
      </c>
      <c r="F98" s="6">
        <v>1.625</v>
      </c>
      <c r="G98" s="6" t="s">
        <v>18</v>
      </c>
      <c r="H98" s="9">
        <f t="shared" si="1"/>
        <v>95.73632813</v>
      </c>
      <c r="I98" s="6">
        <f>DAYS(C98,Context!$C$19)</f>
        <v>644</v>
      </c>
      <c r="J98" s="10">
        <f>ACCRINT(L98,K98,Context!$C$19,F98/100,100,2,1)</f>
        <v>0.3860497238</v>
      </c>
      <c r="K98" s="11">
        <f>COUPNCD(Context!$C$19,C98,2,1)</f>
        <v>45807</v>
      </c>
      <c r="L98" s="11">
        <f>COUPPCD(Context!$C$19,C98,2,1)</f>
        <v>45626</v>
      </c>
      <c r="M98" s="9">
        <f t="shared" si="2"/>
        <v>96.12237785</v>
      </c>
      <c r="N98" s="6">
        <f>(C98-Context!$C$19)/365.25</f>
        <v>1.763175907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 t="s">
        <v>15</v>
      </c>
      <c r="B99" s="7" t="s">
        <v>157</v>
      </c>
      <c r="C99" s="8" t="s">
        <v>155</v>
      </c>
      <c r="D99" s="6">
        <v>100.125</v>
      </c>
      <c r="E99" s="6">
        <v>100.12890625</v>
      </c>
      <c r="F99" s="6">
        <v>4.25</v>
      </c>
      <c r="G99" s="6" t="s">
        <v>18</v>
      </c>
      <c r="H99" s="9">
        <f t="shared" si="1"/>
        <v>100.1269531</v>
      </c>
      <c r="I99" s="6">
        <f>DAYS(C99,Context!$C$19)</f>
        <v>644</v>
      </c>
      <c r="J99" s="10">
        <f>ACCRINT(L99,K99,Context!$C$19,F99/100,100,2,1)</f>
        <v>1.009668508</v>
      </c>
      <c r="K99" s="11">
        <f>COUPNCD(Context!$C$19,C99,2,1)</f>
        <v>45807</v>
      </c>
      <c r="L99" s="11">
        <f>COUPPCD(Context!$C$19,C99,2,1)</f>
        <v>45626</v>
      </c>
      <c r="M99" s="9">
        <f t="shared" si="2"/>
        <v>101.1366216</v>
      </c>
      <c r="N99" s="6">
        <f>(C99-Context!$C$19)/365.25</f>
        <v>1.763175907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 t="s">
        <v>15</v>
      </c>
      <c r="B100" s="7" t="s">
        <v>158</v>
      </c>
      <c r="C100" s="8" t="s">
        <v>159</v>
      </c>
      <c r="D100" s="6">
        <v>100.3359375</v>
      </c>
      <c r="E100" s="6">
        <v>100.3515625</v>
      </c>
      <c r="F100" s="6">
        <v>4.375</v>
      </c>
      <c r="G100" s="6" t="s">
        <v>18</v>
      </c>
      <c r="H100" s="9">
        <f t="shared" si="1"/>
        <v>100.34375</v>
      </c>
      <c r="I100" s="6">
        <f>DAYS(C100,Context!$C$19)</f>
        <v>659</v>
      </c>
      <c r="J100" s="10">
        <f>ACCRINT(L100,K100,Context!$C$19,F100/100,100,2,1)</f>
        <v>0.8533653846</v>
      </c>
      <c r="K100" s="11">
        <f>COUPNCD(Context!$C$19,C100,2,1)</f>
        <v>45823</v>
      </c>
      <c r="L100" s="11">
        <f>COUPPCD(Context!$C$19,C100,2,1)</f>
        <v>45641</v>
      </c>
      <c r="M100" s="9">
        <f t="shared" si="2"/>
        <v>101.1971154</v>
      </c>
      <c r="N100" s="6">
        <f>(C100-Context!$C$19)/365.25</f>
        <v>1.804243669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 t="s">
        <v>15</v>
      </c>
      <c r="B101" s="7" t="s">
        <v>160</v>
      </c>
      <c r="C101" s="8" t="s">
        <v>161</v>
      </c>
      <c r="D101" s="6">
        <v>95.765625</v>
      </c>
      <c r="E101" s="6">
        <v>95.79296875</v>
      </c>
      <c r="F101" s="6">
        <v>1.75</v>
      </c>
      <c r="G101" s="6" t="s">
        <v>18</v>
      </c>
      <c r="H101" s="9">
        <f t="shared" si="1"/>
        <v>95.77929688</v>
      </c>
      <c r="I101" s="6">
        <f>DAYS(C101,Context!$C$19)</f>
        <v>675</v>
      </c>
      <c r="J101" s="10">
        <f>ACCRINT(L101,K101,Context!$C$19,F101/100,100,2,1)</f>
        <v>0.2644230769</v>
      </c>
      <c r="K101" s="11">
        <f>COUPNCD(Context!$C$19,C101,2,1)</f>
        <v>45838</v>
      </c>
      <c r="L101" s="11">
        <f>COUPPCD(Context!$C$19,C101,2,1)</f>
        <v>45657</v>
      </c>
      <c r="M101" s="9">
        <f t="shared" si="2"/>
        <v>96.04371995</v>
      </c>
      <c r="N101" s="6">
        <f>(C101-Context!$C$19)/365.25</f>
        <v>1.848049281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 t="s">
        <v>15</v>
      </c>
      <c r="B102" s="7" t="s">
        <v>162</v>
      </c>
      <c r="C102" s="8" t="s">
        <v>161</v>
      </c>
      <c r="D102" s="6">
        <v>94.875</v>
      </c>
      <c r="E102" s="6">
        <v>94.8984375</v>
      </c>
      <c r="F102" s="6">
        <v>1.25</v>
      </c>
      <c r="G102" s="6" t="s">
        <v>18</v>
      </c>
      <c r="H102" s="9">
        <f t="shared" si="1"/>
        <v>94.88671875</v>
      </c>
      <c r="I102" s="6">
        <f>DAYS(C102,Context!$C$19)</f>
        <v>675</v>
      </c>
      <c r="J102" s="10">
        <f>ACCRINT(L102,K102,Context!$C$19,F102/100,100,2,1)</f>
        <v>0.1888736264</v>
      </c>
      <c r="K102" s="11">
        <f>COUPNCD(Context!$C$19,C102,2,1)</f>
        <v>45838</v>
      </c>
      <c r="L102" s="11">
        <f>COUPPCD(Context!$C$19,C102,2,1)</f>
        <v>45657</v>
      </c>
      <c r="M102" s="9">
        <f t="shared" si="2"/>
        <v>95.07559238</v>
      </c>
      <c r="N102" s="6">
        <f>(C102-Context!$C$19)/365.25</f>
        <v>1.848049281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 t="s">
        <v>15</v>
      </c>
      <c r="B103" s="7" t="s">
        <v>163</v>
      </c>
      <c r="C103" s="8" t="s">
        <v>161</v>
      </c>
      <c r="D103" s="6">
        <v>100.13671875</v>
      </c>
      <c r="E103" s="6">
        <v>100.14453125</v>
      </c>
      <c r="F103" s="6">
        <v>4.25</v>
      </c>
      <c r="G103" s="6" t="s">
        <v>18</v>
      </c>
      <c r="H103" s="9">
        <f t="shared" si="1"/>
        <v>100.140625</v>
      </c>
      <c r="I103" s="6">
        <f>DAYS(C103,Context!$C$19)</f>
        <v>675</v>
      </c>
      <c r="J103" s="10">
        <f>ACCRINT(L103,K103,Context!$C$19,F103/100,100,2,1)</f>
        <v>0.6421703297</v>
      </c>
      <c r="K103" s="11">
        <f>COUPNCD(Context!$C$19,C103,2,1)</f>
        <v>45838</v>
      </c>
      <c r="L103" s="11">
        <f>COUPPCD(Context!$C$19,C103,2,1)</f>
        <v>45657</v>
      </c>
      <c r="M103" s="9">
        <f t="shared" si="2"/>
        <v>100.7827953</v>
      </c>
      <c r="N103" s="6">
        <f>(C103-Context!$C$19)/365.25</f>
        <v>1.848049281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 t="s">
        <v>15</v>
      </c>
      <c r="B104" s="7" t="s">
        <v>164</v>
      </c>
      <c r="C104" s="8" t="s">
        <v>165</v>
      </c>
      <c r="D104" s="6">
        <v>99.6875</v>
      </c>
      <c r="E104" s="6">
        <v>99.703125</v>
      </c>
      <c r="F104" s="6">
        <v>4.0</v>
      </c>
      <c r="G104" s="6" t="s">
        <v>18</v>
      </c>
      <c r="H104" s="9">
        <f t="shared" si="1"/>
        <v>99.6953125</v>
      </c>
      <c r="I104" s="6">
        <f>DAYS(C104,Context!$C$19)</f>
        <v>690</v>
      </c>
      <c r="J104" s="10">
        <f>ACCRINT(L104,K104,Context!$C$19,F104/100,100,2,1)</f>
        <v>0.4419889503</v>
      </c>
      <c r="K104" s="11">
        <f>COUPNCD(Context!$C$19,C104,2,1)</f>
        <v>45853</v>
      </c>
      <c r="L104" s="11">
        <f>COUPPCD(Context!$C$19,C104,2,1)</f>
        <v>45672</v>
      </c>
      <c r="M104" s="9">
        <f t="shared" si="2"/>
        <v>100.1373015</v>
      </c>
      <c r="N104" s="6">
        <f>(C104-Context!$C$19)/365.25</f>
        <v>1.889117043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 t="s">
        <v>15</v>
      </c>
      <c r="B105" s="7" t="s">
        <v>166</v>
      </c>
      <c r="C105" s="8" t="s">
        <v>167</v>
      </c>
      <c r="D105" s="6">
        <v>95.09375</v>
      </c>
      <c r="E105" s="6">
        <v>95.125</v>
      </c>
      <c r="F105" s="6">
        <v>1.5</v>
      </c>
      <c r="G105" s="6" t="s">
        <v>18</v>
      </c>
      <c r="H105" s="9">
        <f t="shared" si="1"/>
        <v>95.109375</v>
      </c>
      <c r="I105" s="6">
        <f>DAYS(C105,Context!$C$19)</f>
        <v>706</v>
      </c>
      <c r="J105" s="10">
        <f>ACCRINT(L105,K105,Context!$C$19,F105/100,100,2,1)</f>
        <v>0.09944751381</v>
      </c>
      <c r="K105" s="11">
        <f>COUPNCD(Context!$C$19,C105,2,1)</f>
        <v>45869</v>
      </c>
      <c r="L105" s="11">
        <f>COUPPCD(Context!$C$19,C105,2,1)</f>
        <v>45688</v>
      </c>
      <c r="M105" s="9">
        <f t="shared" si="2"/>
        <v>95.20882251</v>
      </c>
      <c r="N105" s="6">
        <f>(C105-Context!$C$19)/365.25</f>
        <v>1.932922656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 t="s">
        <v>15</v>
      </c>
      <c r="B106" s="7" t="s">
        <v>168</v>
      </c>
      <c r="C106" s="8" t="s">
        <v>167</v>
      </c>
      <c r="D106" s="6">
        <v>99.921875</v>
      </c>
      <c r="E106" s="6">
        <v>99.9296875</v>
      </c>
      <c r="F106" s="6">
        <v>4.125</v>
      </c>
      <c r="G106" s="6" t="s">
        <v>18</v>
      </c>
      <c r="H106" s="9">
        <f t="shared" si="1"/>
        <v>99.92578125</v>
      </c>
      <c r="I106" s="6">
        <f>DAYS(C106,Context!$C$19)</f>
        <v>706</v>
      </c>
      <c r="J106" s="10">
        <f>ACCRINT(L106,K106,Context!$C$19,F106/100,100,2,1)</f>
        <v>0.273480663</v>
      </c>
      <c r="K106" s="11">
        <f>COUPNCD(Context!$C$19,C106,2,1)</f>
        <v>45869</v>
      </c>
      <c r="L106" s="11">
        <f>COUPPCD(Context!$C$19,C106,2,1)</f>
        <v>45688</v>
      </c>
      <c r="M106" s="9">
        <f t="shared" si="2"/>
        <v>100.1992619</v>
      </c>
      <c r="N106" s="6">
        <f>(C106-Context!$C$19)/365.25</f>
        <v>1.932922656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 t="s">
        <v>15</v>
      </c>
      <c r="B107" s="7" t="s">
        <v>169</v>
      </c>
      <c r="C107" s="8" t="s">
        <v>170</v>
      </c>
      <c r="D107" s="6">
        <v>96.390625</v>
      </c>
      <c r="E107" s="6">
        <v>96.43359375</v>
      </c>
      <c r="F107" s="6">
        <v>2.25</v>
      </c>
      <c r="G107" s="6" t="s">
        <v>18</v>
      </c>
      <c r="H107" s="9">
        <f t="shared" si="1"/>
        <v>96.41210938</v>
      </c>
      <c r="I107" s="6">
        <f>DAYS(C107,Context!$C$19)</f>
        <v>721</v>
      </c>
      <c r="J107" s="10">
        <f>ACCRINT(L107,K107,Context!$C$19,F107/100,100,2,1)</f>
        <v>0.05593922652</v>
      </c>
      <c r="K107" s="11">
        <f>COUPNCD(Context!$C$19,C107,2,1)</f>
        <v>45884</v>
      </c>
      <c r="L107" s="11">
        <f>COUPPCD(Context!$C$19,C107,2,1)</f>
        <v>45703</v>
      </c>
      <c r="M107" s="9">
        <f t="shared" si="2"/>
        <v>96.4680486</v>
      </c>
      <c r="N107" s="6">
        <f>(C107-Context!$C$19)/365.25</f>
        <v>1.973990418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 t="s">
        <v>15</v>
      </c>
      <c r="B108" s="7" t="s">
        <v>171</v>
      </c>
      <c r="C108" s="8" t="s">
        <v>170</v>
      </c>
      <c r="D108" s="6">
        <v>99.921875</v>
      </c>
      <c r="E108" s="6">
        <v>99.9453125</v>
      </c>
      <c r="F108" s="6">
        <v>4.125</v>
      </c>
      <c r="G108" s="6" t="s">
        <v>18</v>
      </c>
      <c r="H108" s="9">
        <f t="shared" si="1"/>
        <v>99.93359375</v>
      </c>
      <c r="I108" s="6">
        <f>DAYS(C108,Context!$C$19)</f>
        <v>721</v>
      </c>
      <c r="J108" s="10">
        <f>ACCRINT(L108,K108,Context!$C$19,F108/100,100,2,1)</f>
        <v>0.1025552486</v>
      </c>
      <c r="K108" s="11">
        <f>COUPNCD(Context!$C$19,C108,2,1)</f>
        <v>45884</v>
      </c>
      <c r="L108" s="11">
        <f>COUPPCD(Context!$C$19,C108,2,1)</f>
        <v>45703</v>
      </c>
      <c r="M108" s="9">
        <f t="shared" si="2"/>
        <v>100.036149</v>
      </c>
      <c r="N108" s="6">
        <f>(C108-Context!$C$19)/365.25</f>
        <v>1.973990418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 t="s">
        <v>15</v>
      </c>
      <c r="B109" s="7" t="s">
        <v>172</v>
      </c>
      <c r="C109" s="8" t="s">
        <v>170</v>
      </c>
      <c r="D109" s="6">
        <v>104.8359375</v>
      </c>
      <c r="E109" s="6">
        <v>105.2578125</v>
      </c>
      <c r="F109" s="6">
        <v>6.625</v>
      </c>
      <c r="G109" s="6" t="s">
        <v>18</v>
      </c>
      <c r="H109" s="9">
        <f t="shared" si="1"/>
        <v>105.046875</v>
      </c>
      <c r="I109" s="6">
        <f>DAYS(C109,Context!$C$19)</f>
        <v>721</v>
      </c>
      <c r="J109" s="10">
        <f>ACCRINT(L109,K109,Context!$C$19,F109/100,100,2,1)</f>
        <v>0.1647099448</v>
      </c>
      <c r="K109" s="11">
        <f>COUPNCD(Context!$C$19,C109,2,1)</f>
        <v>45884</v>
      </c>
      <c r="L109" s="11">
        <f>COUPPCD(Context!$C$19,C109,2,1)</f>
        <v>45703</v>
      </c>
      <c r="M109" s="9">
        <f t="shared" si="2"/>
        <v>105.2115849</v>
      </c>
      <c r="N109" s="6">
        <f>(C109-Context!$C$19)/365.25</f>
        <v>1.973990418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 t="s">
        <v>15</v>
      </c>
      <c r="B110" s="7" t="s">
        <v>173</v>
      </c>
      <c r="C110" s="8" t="s">
        <v>174</v>
      </c>
      <c r="D110" s="6">
        <v>95.625</v>
      </c>
      <c r="E110" s="6">
        <v>95.65234375</v>
      </c>
      <c r="F110" s="6">
        <v>1.875</v>
      </c>
      <c r="G110" s="6" t="s">
        <v>18</v>
      </c>
      <c r="H110" s="9">
        <f t="shared" si="1"/>
        <v>95.63867188</v>
      </c>
      <c r="I110" s="6">
        <f>DAYS(C110,Context!$C$19)</f>
        <v>734</v>
      </c>
      <c r="J110" s="10">
        <f>ACCRINT(L110,K110,Context!$C$19,F110/100,100,2,1)</f>
        <v>0.9171195652</v>
      </c>
      <c r="K110" s="11">
        <f>COUPNCD(Context!$C$19,C110,2,1)</f>
        <v>45716</v>
      </c>
      <c r="L110" s="11">
        <f>COUPPCD(Context!$C$19,C110,2,1)</f>
        <v>45532</v>
      </c>
      <c r="M110" s="9">
        <f t="shared" si="2"/>
        <v>96.55579144</v>
      </c>
      <c r="N110" s="6">
        <f>(C110-Context!$C$19)/365.25</f>
        <v>2.009582478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 t="s">
        <v>15</v>
      </c>
      <c r="B111" s="7" t="s">
        <v>17</v>
      </c>
      <c r="C111" s="8" t="s">
        <v>174</v>
      </c>
      <c r="D111" s="6">
        <v>99.93359375</v>
      </c>
      <c r="E111" s="6">
        <v>99.9453125</v>
      </c>
      <c r="F111" s="6">
        <v>4.125</v>
      </c>
      <c r="G111" s="6" t="s">
        <v>18</v>
      </c>
      <c r="H111" s="9">
        <f t="shared" si="1"/>
        <v>99.93945313</v>
      </c>
      <c r="I111" s="6">
        <f>DAYS(C111,Context!$C$19)</f>
        <v>734</v>
      </c>
      <c r="J111" s="10">
        <f>ACCRINT(L111,K111,Context!$C$19,F111/100,100,2,1)</f>
        <v>2.017663043</v>
      </c>
      <c r="K111" s="11">
        <f>COUPNCD(Context!$C$19,C111,2,1)</f>
        <v>45716</v>
      </c>
      <c r="L111" s="11">
        <f>COUPPCD(Context!$C$19,C111,2,1)</f>
        <v>45532</v>
      </c>
      <c r="M111" s="9">
        <f t="shared" si="2"/>
        <v>101.9571162</v>
      </c>
      <c r="N111" s="6">
        <f>(C111-Context!$C$19)/365.25</f>
        <v>2.009582478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 t="s">
        <v>15</v>
      </c>
      <c r="B112" s="7" t="s">
        <v>20</v>
      </c>
      <c r="C112" s="8" t="s">
        <v>174</v>
      </c>
      <c r="D112" s="6">
        <v>94.2109375</v>
      </c>
      <c r="E112" s="6">
        <v>94.2421875</v>
      </c>
      <c r="F112" s="6">
        <v>1.125</v>
      </c>
      <c r="G112" s="6" t="s">
        <v>18</v>
      </c>
      <c r="H112" s="9">
        <f t="shared" si="1"/>
        <v>94.2265625</v>
      </c>
      <c r="I112" s="6">
        <f>DAYS(C112,Context!$C$19)</f>
        <v>734</v>
      </c>
      <c r="J112" s="10">
        <f>ACCRINT(L112,K112,Context!$C$19,F112/100,100,2,1)</f>
        <v>0.5502717391</v>
      </c>
      <c r="K112" s="11">
        <f>COUPNCD(Context!$C$19,C112,2,1)</f>
        <v>45716</v>
      </c>
      <c r="L112" s="11">
        <f>COUPPCD(Context!$C$19,C112,2,1)</f>
        <v>45532</v>
      </c>
      <c r="M112" s="9">
        <f t="shared" si="2"/>
        <v>94.77683424</v>
      </c>
      <c r="N112" s="6">
        <f>(C112-Context!$C$19)/365.25</f>
        <v>2.009582478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 t="s">
        <v>15</v>
      </c>
      <c r="B113" s="7" t="s">
        <v>175</v>
      </c>
      <c r="C113" s="8" t="s">
        <v>176</v>
      </c>
      <c r="D113" s="6">
        <v>100.140625</v>
      </c>
      <c r="E113" s="6">
        <v>100.1796875</v>
      </c>
      <c r="F113" s="6">
        <v>4.25</v>
      </c>
      <c r="G113" s="6" t="s">
        <v>18</v>
      </c>
      <c r="H113" s="9">
        <f t="shared" si="1"/>
        <v>100.1601563</v>
      </c>
      <c r="I113" s="6">
        <f>DAYS(C113,Context!$C$19)</f>
        <v>749</v>
      </c>
      <c r="J113" s="10">
        <f>ACCRINT(L113,K113,Context!$C$19,F113/100,100,2,1)</f>
        <v>1.901933702</v>
      </c>
      <c r="K113" s="11">
        <f>COUPNCD(Context!$C$19,C113,2,1)</f>
        <v>45731</v>
      </c>
      <c r="L113" s="11">
        <f>COUPPCD(Context!$C$19,C113,2,1)</f>
        <v>45550</v>
      </c>
      <c r="M113" s="9">
        <f t="shared" si="2"/>
        <v>102.06209</v>
      </c>
      <c r="N113" s="6">
        <f>(C113-Context!$C$19)/365.25</f>
        <v>2.05065024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 t="s">
        <v>15</v>
      </c>
      <c r="B114" s="7" t="s">
        <v>23</v>
      </c>
      <c r="C114" s="8" t="s">
        <v>177</v>
      </c>
      <c r="D114" s="6">
        <v>92.953125</v>
      </c>
      <c r="E114" s="6">
        <v>93.0078125</v>
      </c>
      <c r="F114" s="6">
        <v>0.625</v>
      </c>
      <c r="G114" s="6" t="s">
        <v>18</v>
      </c>
      <c r="H114" s="9">
        <f t="shared" si="1"/>
        <v>92.98046875</v>
      </c>
      <c r="I114" s="6">
        <f>DAYS(C114,Context!$C$19)</f>
        <v>765</v>
      </c>
      <c r="J114" s="10">
        <f>ACCRINT(L114,K114,Context!$C$19,F114/100,100,2,1)</f>
        <v>0.2524038462</v>
      </c>
      <c r="K114" s="11">
        <f>COUPNCD(Context!$C$19,C114,2,1)</f>
        <v>45747</v>
      </c>
      <c r="L114" s="11">
        <f>COUPPCD(Context!$C$19,C114,2,1)</f>
        <v>45565</v>
      </c>
      <c r="M114" s="9">
        <f t="shared" si="2"/>
        <v>93.2328726</v>
      </c>
      <c r="N114" s="6">
        <f>(C114-Context!$C$19)/365.25</f>
        <v>2.094455852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 t="s">
        <v>15</v>
      </c>
      <c r="B115" s="7" t="s">
        <v>178</v>
      </c>
      <c r="C115" s="8" t="s">
        <v>177</v>
      </c>
      <c r="D115" s="6">
        <v>96.71875</v>
      </c>
      <c r="E115" s="6">
        <v>96.7578125</v>
      </c>
      <c r="F115" s="6">
        <v>2.5</v>
      </c>
      <c r="G115" s="6" t="s">
        <v>18</v>
      </c>
      <c r="H115" s="9">
        <f t="shared" si="1"/>
        <v>96.73828125</v>
      </c>
      <c r="I115" s="6">
        <f>DAYS(C115,Context!$C$19)</f>
        <v>765</v>
      </c>
      <c r="J115" s="10">
        <f>ACCRINT(L115,K115,Context!$C$19,F115/100,100,2,1)</f>
        <v>1.009615385</v>
      </c>
      <c r="K115" s="11">
        <f>COUPNCD(Context!$C$19,C115,2,1)</f>
        <v>45747</v>
      </c>
      <c r="L115" s="11">
        <f>COUPPCD(Context!$C$19,C115,2,1)</f>
        <v>45565</v>
      </c>
      <c r="M115" s="9">
        <f t="shared" si="2"/>
        <v>97.74789663</v>
      </c>
      <c r="N115" s="6">
        <f>(C115-Context!$C$19)/365.25</f>
        <v>2.094455852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 t="s">
        <v>15</v>
      </c>
      <c r="B116" s="7" t="s">
        <v>179</v>
      </c>
      <c r="C116" s="8" t="s">
        <v>180</v>
      </c>
      <c r="D116" s="6">
        <v>100.6484375</v>
      </c>
      <c r="E116" s="6">
        <v>100.6953125</v>
      </c>
      <c r="F116" s="6">
        <v>4.5</v>
      </c>
      <c r="G116" s="6" t="s">
        <v>18</v>
      </c>
      <c r="H116" s="9">
        <f t="shared" si="1"/>
        <v>100.671875</v>
      </c>
      <c r="I116" s="6">
        <f>DAYS(C116,Context!$C$19)</f>
        <v>780</v>
      </c>
      <c r="J116" s="10">
        <f>ACCRINT(L116,K116,Context!$C$19,F116/100,100,2,1)</f>
        <v>1.631868132</v>
      </c>
      <c r="K116" s="11">
        <f>COUPNCD(Context!$C$19,C116,2,1)</f>
        <v>45762</v>
      </c>
      <c r="L116" s="11">
        <f>COUPPCD(Context!$C$19,C116,2,1)</f>
        <v>45580</v>
      </c>
      <c r="M116" s="9">
        <f t="shared" si="2"/>
        <v>102.3037431</v>
      </c>
      <c r="N116" s="6">
        <f>(C116-Context!$C$19)/365.25</f>
        <v>2.135523614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 t="s">
        <v>15</v>
      </c>
      <c r="B117" s="7" t="s">
        <v>31</v>
      </c>
      <c r="C117" s="8" t="s">
        <v>181</v>
      </c>
      <c r="D117" s="6">
        <v>92.4296875</v>
      </c>
      <c r="E117" s="6">
        <v>92.4921875</v>
      </c>
      <c r="F117" s="6">
        <v>0.5</v>
      </c>
      <c r="G117" s="6" t="s">
        <v>18</v>
      </c>
      <c r="H117" s="9">
        <f t="shared" si="1"/>
        <v>92.4609375</v>
      </c>
      <c r="I117" s="6">
        <f>DAYS(C117,Context!$C$19)</f>
        <v>795</v>
      </c>
      <c r="J117" s="10">
        <f>ACCRINT(L117,K117,Context!$C$19,F117/100,100,2,1)</f>
        <v>0.1607142857</v>
      </c>
      <c r="K117" s="11">
        <f>COUPNCD(Context!$C$19,C117,2,1)</f>
        <v>45777</v>
      </c>
      <c r="L117" s="11">
        <f>COUPPCD(Context!$C$19,C117,2,1)</f>
        <v>45595</v>
      </c>
      <c r="M117" s="9">
        <f t="shared" si="2"/>
        <v>92.62165179</v>
      </c>
      <c r="N117" s="6">
        <f>(C117-Context!$C$19)/365.25</f>
        <v>2.176591376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 t="s">
        <v>15</v>
      </c>
      <c r="B118" s="7" t="s">
        <v>182</v>
      </c>
      <c r="C118" s="8" t="s">
        <v>181</v>
      </c>
      <c r="D118" s="6">
        <v>97.0703125</v>
      </c>
      <c r="E118" s="6">
        <v>97.1171875</v>
      </c>
      <c r="F118" s="6">
        <v>2.75</v>
      </c>
      <c r="G118" s="6" t="s">
        <v>18</v>
      </c>
      <c r="H118" s="9">
        <f t="shared" si="1"/>
        <v>97.09375</v>
      </c>
      <c r="I118" s="6">
        <f>DAYS(C118,Context!$C$19)</f>
        <v>795</v>
      </c>
      <c r="J118" s="10">
        <f>ACCRINT(L118,K118,Context!$C$19,F118/100,100,2,1)</f>
        <v>0.8839285714</v>
      </c>
      <c r="K118" s="11">
        <f>COUPNCD(Context!$C$19,C118,2,1)</f>
        <v>45777</v>
      </c>
      <c r="L118" s="11">
        <f>COUPPCD(Context!$C$19,C118,2,1)</f>
        <v>45595</v>
      </c>
      <c r="M118" s="9">
        <f t="shared" si="2"/>
        <v>97.97767857</v>
      </c>
      <c r="N118" s="6">
        <f>(C118-Context!$C$19)/365.25</f>
        <v>2.176591376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 t="s">
        <v>15</v>
      </c>
      <c r="B119" s="7" t="s">
        <v>183</v>
      </c>
      <c r="C119" s="8" t="s">
        <v>184</v>
      </c>
      <c r="D119" s="6">
        <v>96.2265625</v>
      </c>
      <c r="E119" s="6">
        <v>96.265625</v>
      </c>
      <c r="F119" s="6">
        <v>2.375</v>
      </c>
      <c r="G119" s="6" t="s">
        <v>18</v>
      </c>
      <c r="H119" s="9">
        <f t="shared" si="1"/>
        <v>96.24609375</v>
      </c>
      <c r="I119" s="6">
        <f>DAYS(C119,Context!$C$19)</f>
        <v>810</v>
      </c>
      <c r="J119" s="10">
        <f>ACCRINT(L119,K119,Context!$C$19,F119/100,100,2,1)</f>
        <v>0.6626381215</v>
      </c>
      <c r="K119" s="11">
        <f>COUPNCD(Context!$C$19,C119,2,1)</f>
        <v>45792</v>
      </c>
      <c r="L119" s="11">
        <f>COUPPCD(Context!$C$19,C119,2,1)</f>
        <v>45611</v>
      </c>
      <c r="M119" s="9">
        <f t="shared" si="2"/>
        <v>96.90873187</v>
      </c>
      <c r="N119" s="6">
        <f>(C119-Context!$C$19)/365.25</f>
        <v>2.217659138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 t="s">
        <v>15</v>
      </c>
      <c r="B120" s="7" t="s">
        <v>185</v>
      </c>
      <c r="C120" s="8" t="s">
        <v>184</v>
      </c>
      <c r="D120" s="6">
        <v>100.671875</v>
      </c>
      <c r="E120" s="6">
        <v>100.703125</v>
      </c>
      <c r="F120" s="6">
        <v>4.5</v>
      </c>
      <c r="G120" s="6" t="s">
        <v>18</v>
      </c>
      <c r="H120" s="9">
        <f t="shared" si="1"/>
        <v>100.6875</v>
      </c>
      <c r="I120" s="6">
        <f>DAYS(C120,Context!$C$19)</f>
        <v>810</v>
      </c>
      <c r="J120" s="10">
        <f>ACCRINT(L120,K120,Context!$C$19,F120/100,100,2,1)</f>
        <v>1.255524862</v>
      </c>
      <c r="K120" s="11">
        <f>COUPNCD(Context!$C$19,C120,2,1)</f>
        <v>45792</v>
      </c>
      <c r="L120" s="11">
        <f>COUPPCD(Context!$C$19,C120,2,1)</f>
        <v>45611</v>
      </c>
      <c r="M120" s="9">
        <f t="shared" si="2"/>
        <v>101.9430249</v>
      </c>
      <c r="N120" s="6">
        <f>(C120-Context!$C$19)/365.25</f>
        <v>2.217659138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 t="s">
        <v>15</v>
      </c>
      <c r="B121" s="7" t="s">
        <v>186</v>
      </c>
      <c r="C121" s="8" t="s">
        <v>187</v>
      </c>
      <c r="D121" s="6">
        <v>96.6796875</v>
      </c>
      <c r="E121" s="6">
        <v>96.7265625</v>
      </c>
      <c r="F121" s="6">
        <v>2.625</v>
      </c>
      <c r="G121" s="6" t="s">
        <v>18</v>
      </c>
      <c r="H121" s="9">
        <f t="shared" si="1"/>
        <v>96.703125</v>
      </c>
      <c r="I121" s="6">
        <f>DAYS(C121,Context!$C$19)</f>
        <v>826</v>
      </c>
      <c r="J121" s="10">
        <f>ACCRINT(L121,K121,Context!$C$19,F121/100,100,2,1)</f>
        <v>0.6201923077</v>
      </c>
      <c r="K121" s="11">
        <f>COUPNCD(Context!$C$19,C121,2,1)</f>
        <v>45808</v>
      </c>
      <c r="L121" s="11">
        <f>COUPPCD(Context!$C$19,C121,2,1)</f>
        <v>45626</v>
      </c>
      <c r="M121" s="9">
        <f t="shared" si="2"/>
        <v>97.32331731</v>
      </c>
      <c r="N121" s="6">
        <f>(C121-Context!$C$19)/365.25</f>
        <v>2.26146475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 t="s">
        <v>15</v>
      </c>
      <c r="B122" s="7" t="s">
        <v>39</v>
      </c>
      <c r="C122" s="8" t="s">
        <v>187</v>
      </c>
      <c r="D122" s="6">
        <v>92.1640625</v>
      </c>
      <c r="E122" s="6">
        <v>92.1953125</v>
      </c>
      <c r="F122" s="6">
        <v>0.5</v>
      </c>
      <c r="G122" s="6" t="s">
        <v>18</v>
      </c>
      <c r="H122" s="9">
        <f t="shared" si="1"/>
        <v>92.1796875</v>
      </c>
      <c r="I122" s="6">
        <f>DAYS(C122,Context!$C$19)</f>
        <v>826</v>
      </c>
      <c r="J122" s="10">
        <f>ACCRINT(L122,K122,Context!$C$19,F122/100,100,2,1)</f>
        <v>0.1181318681</v>
      </c>
      <c r="K122" s="11">
        <f>COUPNCD(Context!$C$19,C122,2,1)</f>
        <v>45808</v>
      </c>
      <c r="L122" s="11">
        <f>COUPPCD(Context!$C$19,C122,2,1)</f>
        <v>45626</v>
      </c>
      <c r="M122" s="9">
        <f t="shared" si="2"/>
        <v>92.29781937</v>
      </c>
      <c r="N122" s="6">
        <f>(C122-Context!$C$19)/365.25</f>
        <v>2.26146475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 t="s">
        <v>15</v>
      </c>
      <c r="B123" s="7" t="s">
        <v>188</v>
      </c>
      <c r="C123" s="8" t="s">
        <v>189</v>
      </c>
      <c r="D123" s="6">
        <v>101.0</v>
      </c>
      <c r="E123" s="6">
        <v>101.03125</v>
      </c>
      <c r="F123" s="6">
        <v>4.625</v>
      </c>
      <c r="G123" s="6" t="s">
        <v>18</v>
      </c>
      <c r="H123" s="9">
        <f t="shared" si="1"/>
        <v>101.015625</v>
      </c>
      <c r="I123" s="6">
        <f>DAYS(C123,Context!$C$19)</f>
        <v>841</v>
      </c>
      <c r="J123" s="10">
        <f>ACCRINT(L123,K123,Context!$C$19,F123/100,100,2,1)</f>
        <v>0.9021291209</v>
      </c>
      <c r="K123" s="11">
        <f>COUPNCD(Context!$C$19,C123,2,1)</f>
        <v>45823</v>
      </c>
      <c r="L123" s="11">
        <f>COUPPCD(Context!$C$19,C123,2,1)</f>
        <v>45641</v>
      </c>
      <c r="M123" s="9">
        <f t="shared" si="2"/>
        <v>101.9177541</v>
      </c>
      <c r="N123" s="6">
        <f>(C123-Context!$C$19)/365.25</f>
        <v>2.302532512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 t="s">
        <v>15</v>
      </c>
      <c r="B124" s="7" t="s">
        <v>42</v>
      </c>
      <c r="C124" s="8" t="s">
        <v>190</v>
      </c>
      <c r="D124" s="6">
        <v>91.8984375</v>
      </c>
      <c r="E124" s="6">
        <v>91.9375</v>
      </c>
      <c r="F124" s="6">
        <v>0.5</v>
      </c>
      <c r="G124" s="6" t="s">
        <v>18</v>
      </c>
      <c r="H124" s="9">
        <f t="shared" si="1"/>
        <v>91.91796875</v>
      </c>
      <c r="I124" s="6">
        <f>DAYS(C124,Context!$C$19)</f>
        <v>856</v>
      </c>
      <c r="J124" s="10">
        <f>ACCRINT(L124,K124,Context!$C$19,F124/100,100,2,1)</f>
        <v>0.07692307692</v>
      </c>
      <c r="K124" s="11">
        <f>COUPNCD(Context!$C$19,C124,2,1)</f>
        <v>45838</v>
      </c>
      <c r="L124" s="11">
        <f>COUPPCD(Context!$C$19,C124,2,1)</f>
        <v>45656</v>
      </c>
      <c r="M124" s="9">
        <f t="shared" si="2"/>
        <v>91.99489183</v>
      </c>
      <c r="N124" s="6">
        <f>(C124-Context!$C$19)/365.25</f>
        <v>2.343600274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 t="s">
        <v>15</v>
      </c>
      <c r="B125" s="7" t="s">
        <v>191</v>
      </c>
      <c r="C125" s="8" t="s">
        <v>190</v>
      </c>
      <c r="D125" s="6">
        <v>98.015625</v>
      </c>
      <c r="E125" s="6">
        <v>98.046875</v>
      </c>
      <c r="F125" s="6">
        <v>3.25</v>
      </c>
      <c r="G125" s="6" t="s">
        <v>18</v>
      </c>
      <c r="H125" s="9">
        <f t="shared" si="1"/>
        <v>98.03125</v>
      </c>
      <c r="I125" s="6">
        <f>DAYS(C125,Context!$C$19)</f>
        <v>856</v>
      </c>
      <c r="J125" s="10">
        <f>ACCRINT(L125,K125,Context!$C$19,F125/100,100,2,1)</f>
        <v>0.5</v>
      </c>
      <c r="K125" s="11">
        <f>COUPNCD(Context!$C$19,C125,2,1)</f>
        <v>45838</v>
      </c>
      <c r="L125" s="11">
        <f>COUPPCD(Context!$C$19,C125,2,1)</f>
        <v>45656</v>
      </c>
      <c r="M125" s="9">
        <f t="shared" si="2"/>
        <v>98.53125</v>
      </c>
      <c r="N125" s="6">
        <f>(C125-Context!$C$19)/365.25</f>
        <v>2.343600274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 t="s">
        <v>15</v>
      </c>
      <c r="B126" s="7" t="s">
        <v>192</v>
      </c>
      <c r="C126" s="8" t="s">
        <v>193</v>
      </c>
      <c r="D126" s="6">
        <v>100.4765625</v>
      </c>
      <c r="E126" s="6">
        <v>100.5</v>
      </c>
      <c r="F126" s="6">
        <v>4.375</v>
      </c>
      <c r="G126" s="6" t="s">
        <v>18</v>
      </c>
      <c r="H126" s="9">
        <f t="shared" si="1"/>
        <v>100.4882813</v>
      </c>
      <c r="I126" s="6">
        <f>DAYS(C126,Context!$C$19)</f>
        <v>871</v>
      </c>
      <c r="J126" s="10">
        <f>ACCRINT(L126,K126,Context!$C$19,F126/100,100,2,1)</f>
        <v>0.4834254144</v>
      </c>
      <c r="K126" s="11">
        <f>COUPNCD(Context!$C$19,C126,2,1)</f>
        <v>45853</v>
      </c>
      <c r="L126" s="11">
        <f>COUPPCD(Context!$C$19,C126,2,1)</f>
        <v>45672</v>
      </c>
      <c r="M126" s="9">
        <f t="shared" si="2"/>
        <v>100.9717067</v>
      </c>
      <c r="N126" s="6">
        <f>(C126-Context!$C$19)/365.25</f>
        <v>2.384668036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 t="s">
        <v>15</v>
      </c>
      <c r="B127" s="7" t="s">
        <v>50</v>
      </c>
      <c r="C127" s="8" t="s">
        <v>194</v>
      </c>
      <c r="D127" s="6">
        <v>91.3203125</v>
      </c>
      <c r="E127" s="6">
        <v>91.3671875</v>
      </c>
      <c r="F127" s="6">
        <v>0.375</v>
      </c>
      <c r="G127" s="6" t="s">
        <v>18</v>
      </c>
      <c r="H127" s="9">
        <f t="shared" si="1"/>
        <v>91.34375</v>
      </c>
      <c r="I127" s="6">
        <f>DAYS(C127,Context!$C$19)</f>
        <v>887</v>
      </c>
      <c r="J127" s="10">
        <f>ACCRINT(L127,K127,Context!$C$19,F127/100,100,2,1)</f>
        <v>0.02486187845</v>
      </c>
      <c r="K127" s="11">
        <f>COUPNCD(Context!$C$19,C127,2,1)</f>
        <v>45869</v>
      </c>
      <c r="L127" s="11">
        <f>COUPPCD(Context!$C$19,C127,2,1)</f>
        <v>45688</v>
      </c>
      <c r="M127" s="9">
        <f t="shared" si="2"/>
        <v>91.36861188</v>
      </c>
      <c r="N127" s="6">
        <f>(C127-Context!$C$19)/365.25</f>
        <v>2.428473648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 t="s">
        <v>15</v>
      </c>
      <c r="B128" s="7" t="s">
        <v>195</v>
      </c>
      <c r="C128" s="8" t="s">
        <v>194</v>
      </c>
      <c r="D128" s="6">
        <v>96.75</v>
      </c>
      <c r="E128" s="6">
        <v>96.7890625</v>
      </c>
      <c r="F128" s="6">
        <v>2.75</v>
      </c>
      <c r="G128" s="6" t="s">
        <v>18</v>
      </c>
      <c r="H128" s="9">
        <f t="shared" si="1"/>
        <v>96.76953125</v>
      </c>
      <c r="I128" s="6">
        <f>DAYS(C128,Context!$C$19)</f>
        <v>887</v>
      </c>
      <c r="J128" s="10">
        <f>ACCRINT(L128,K128,Context!$C$19,F128/100,100,2,1)</f>
        <v>0.182320442</v>
      </c>
      <c r="K128" s="11">
        <f>COUPNCD(Context!$C$19,C128,2,1)</f>
        <v>45869</v>
      </c>
      <c r="L128" s="11">
        <f>COUPPCD(Context!$C$19,C128,2,1)</f>
        <v>45688</v>
      </c>
      <c r="M128" s="9">
        <f t="shared" si="2"/>
        <v>96.95185169</v>
      </c>
      <c r="N128" s="6">
        <f>(C128-Context!$C$19)/365.25</f>
        <v>2.428473648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 t="s">
        <v>15</v>
      </c>
      <c r="B129" s="7" t="s">
        <v>196</v>
      </c>
      <c r="C129" s="8" t="s">
        <v>197</v>
      </c>
      <c r="D129" s="6">
        <v>105.0</v>
      </c>
      <c r="E129" s="6">
        <v>105.4921875</v>
      </c>
      <c r="F129" s="6">
        <v>6.375</v>
      </c>
      <c r="G129" s="6" t="s">
        <v>18</v>
      </c>
      <c r="H129" s="9">
        <f t="shared" si="1"/>
        <v>105.2460938</v>
      </c>
      <c r="I129" s="6">
        <f>DAYS(C129,Context!$C$19)</f>
        <v>902</v>
      </c>
      <c r="J129" s="10">
        <f>ACCRINT(L129,K129,Context!$C$19,F129/100,100,2,1)</f>
        <v>0.1584944751</v>
      </c>
      <c r="K129" s="11">
        <f>COUPNCD(Context!$C$19,C129,2,1)</f>
        <v>45884</v>
      </c>
      <c r="L129" s="11">
        <f>COUPPCD(Context!$C$19,C129,2,1)</f>
        <v>45703</v>
      </c>
      <c r="M129" s="9">
        <f t="shared" si="2"/>
        <v>105.4045882</v>
      </c>
      <c r="N129" s="6">
        <f>(C129-Context!$C$19)/365.25</f>
        <v>2.46954141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 t="s">
        <v>15</v>
      </c>
      <c r="B130" s="7" t="s">
        <v>198</v>
      </c>
      <c r="C130" s="8" t="s">
        <v>197</v>
      </c>
      <c r="D130" s="6">
        <v>95.546875</v>
      </c>
      <c r="E130" s="6">
        <v>95.59375</v>
      </c>
      <c r="F130" s="6">
        <v>2.25</v>
      </c>
      <c r="G130" s="6" t="s">
        <v>18</v>
      </c>
      <c r="H130" s="9">
        <f t="shared" si="1"/>
        <v>95.5703125</v>
      </c>
      <c r="I130" s="6">
        <f>DAYS(C130,Context!$C$19)</f>
        <v>902</v>
      </c>
      <c r="J130" s="10">
        <f>ACCRINT(L130,K130,Context!$C$19,F130/100,100,2,1)</f>
        <v>0.05593922652</v>
      </c>
      <c r="K130" s="11">
        <f>COUPNCD(Context!$C$19,C130,2,1)</f>
        <v>45884</v>
      </c>
      <c r="L130" s="11">
        <f>COUPPCD(Context!$C$19,C130,2,1)</f>
        <v>45703</v>
      </c>
      <c r="M130" s="9">
        <f t="shared" si="2"/>
        <v>95.62625173</v>
      </c>
      <c r="N130" s="6">
        <f>(C130-Context!$C$19)/365.25</f>
        <v>2.46954141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 t="s">
        <v>15</v>
      </c>
      <c r="B131" s="7" t="s">
        <v>199</v>
      </c>
      <c r="C131" s="8" t="s">
        <v>197</v>
      </c>
      <c r="D131" s="6">
        <v>99.03125</v>
      </c>
      <c r="E131" s="6">
        <v>99.0546875</v>
      </c>
      <c r="F131" s="6">
        <v>3.75</v>
      </c>
      <c r="G131" s="6" t="s">
        <v>18</v>
      </c>
      <c r="H131" s="9">
        <f t="shared" si="1"/>
        <v>99.04296875</v>
      </c>
      <c r="I131" s="6">
        <f>DAYS(C131,Context!$C$19)</f>
        <v>902</v>
      </c>
      <c r="J131" s="10">
        <f>ACCRINT(L131,K131,Context!$C$19,F131/100,100,2,1)</f>
        <v>0.0932320442</v>
      </c>
      <c r="K131" s="11">
        <f>COUPNCD(Context!$C$19,C131,2,1)</f>
        <v>45884</v>
      </c>
      <c r="L131" s="11">
        <f>COUPPCD(Context!$C$19,C131,2,1)</f>
        <v>45703</v>
      </c>
      <c r="M131" s="9">
        <f t="shared" si="2"/>
        <v>99.13620079</v>
      </c>
      <c r="N131" s="6">
        <f>(C131-Context!$C$19)/365.25</f>
        <v>2.46954141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 t="s">
        <v>15</v>
      </c>
      <c r="B132" s="7" t="s">
        <v>58</v>
      </c>
      <c r="C132" s="8" t="s">
        <v>200</v>
      </c>
      <c r="D132" s="6">
        <v>91.3515625</v>
      </c>
      <c r="E132" s="6">
        <v>91.3828125</v>
      </c>
      <c r="F132" s="6">
        <v>0.5</v>
      </c>
      <c r="G132" s="6" t="s">
        <v>18</v>
      </c>
      <c r="H132" s="9">
        <f t="shared" si="1"/>
        <v>91.3671875</v>
      </c>
      <c r="I132" s="6">
        <f>DAYS(C132,Context!$C$19)</f>
        <v>918</v>
      </c>
      <c r="J132" s="10">
        <f>ACCRINT(L132,K132,Context!$C$19,F132/100,100,2,1)</f>
        <v>0.2404891304</v>
      </c>
      <c r="K132" s="11">
        <f>COUPNCD(Context!$C$19,C132,2,1)</f>
        <v>45716</v>
      </c>
      <c r="L132" s="11">
        <f>COUPPCD(Context!$C$19,C132,2,1)</f>
        <v>45535</v>
      </c>
      <c r="M132" s="9">
        <f t="shared" si="2"/>
        <v>91.60767663</v>
      </c>
      <c r="N132" s="6">
        <f>(C132-Context!$C$19)/365.25</f>
        <v>2.513347023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 t="s">
        <v>15</v>
      </c>
      <c r="B133" s="7" t="s">
        <v>201</v>
      </c>
      <c r="C133" s="8" t="s">
        <v>200</v>
      </c>
      <c r="D133" s="6">
        <v>97.53125</v>
      </c>
      <c r="E133" s="6">
        <v>97.5703125</v>
      </c>
      <c r="F133" s="6">
        <v>3.125</v>
      </c>
      <c r="G133" s="6" t="s">
        <v>18</v>
      </c>
      <c r="H133" s="9">
        <f t="shared" si="1"/>
        <v>97.55078125</v>
      </c>
      <c r="I133" s="6">
        <f>DAYS(C133,Context!$C$19)</f>
        <v>918</v>
      </c>
      <c r="J133" s="10">
        <f>ACCRINT(L133,K133,Context!$C$19,F133/100,100,2,1)</f>
        <v>1.503057065</v>
      </c>
      <c r="K133" s="11">
        <f>COUPNCD(Context!$C$19,C133,2,1)</f>
        <v>45716</v>
      </c>
      <c r="L133" s="11">
        <f>COUPPCD(Context!$C$19,C133,2,1)</f>
        <v>45535</v>
      </c>
      <c r="M133" s="9">
        <f t="shared" si="2"/>
        <v>99.05383832</v>
      </c>
      <c r="N133" s="6">
        <f>(C133-Context!$C$19)/365.25</f>
        <v>2.513347023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 t="s">
        <v>15</v>
      </c>
      <c r="B134" s="7" t="s">
        <v>202</v>
      </c>
      <c r="C134" s="8" t="s">
        <v>203</v>
      </c>
      <c r="D134" s="6">
        <v>98.109375</v>
      </c>
      <c r="E134" s="6">
        <v>98.125</v>
      </c>
      <c r="F134" s="6">
        <v>3.375</v>
      </c>
      <c r="G134" s="6" t="s">
        <v>18</v>
      </c>
      <c r="H134" s="9">
        <f t="shared" si="1"/>
        <v>98.1171875</v>
      </c>
      <c r="I134" s="6">
        <f>DAYS(C134,Context!$C$19)</f>
        <v>933</v>
      </c>
      <c r="J134" s="10">
        <f>ACCRINT(L134,K134,Context!$C$19,F134/100,100,2,1)</f>
        <v>1.510359116</v>
      </c>
      <c r="K134" s="11">
        <f>COUPNCD(Context!$C$19,C134,2,1)</f>
        <v>45731</v>
      </c>
      <c r="L134" s="11">
        <f>COUPPCD(Context!$C$19,C134,2,1)</f>
        <v>45550</v>
      </c>
      <c r="M134" s="9">
        <f t="shared" si="2"/>
        <v>99.62754662</v>
      </c>
      <c r="N134" s="6">
        <f>(C134-Context!$C$19)/365.25</f>
        <v>2.554414784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 t="s">
        <v>15</v>
      </c>
      <c r="B135" s="7" t="s">
        <v>65</v>
      </c>
      <c r="C135" s="8" t="s">
        <v>204</v>
      </c>
      <c r="D135" s="6">
        <v>90.7734375</v>
      </c>
      <c r="E135" s="6">
        <v>90.8203125</v>
      </c>
      <c r="F135" s="6">
        <v>0.375</v>
      </c>
      <c r="G135" s="6" t="s">
        <v>18</v>
      </c>
      <c r="H135" s="9">
        <f t="shared" si="1"/>
        <v>90.796875</v>
      </c>
      <c r="I135" s="6">
        <f>DAYS(C135,Context!$C$19)</f>
        <v>948</v>
      </c>
      <c r="J135" s="10">
        <f>ACCRINT(L135,K135,Context!$C$19,F135/100,100,2,1)</f>
        <v>0.1522790055</v>
      </c>
      <c r="K135" s="11">
        <f>COUPNCD(Context!$C$19,C135,2,1)</f>
        <v>45746</v>
      </c>
      <c r="L135" s="11">
        <f>COUPPCD(Context!$C$19,C135,2,1)</f>
        <v>45565</v>
      </c>
      <c r="M135" s="9">
        <f t="shared" si="2"/>
        <v>90.94915401</v>
      </c>
      <c r="N135" s="6">
        <f>(C135-Context!$C$19)/365.25</f>
        <v>2.595482546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 t="s">
        <v>15</v>
      </c>
      <c r="B136" s="7" t="s">
        <v>205</v>
      </c>
      <c r="C136" s="8" t="s">
        <v>204</v>
      </c>
      <c r="D136" s="6">
        <v>99.921875</v>
      </c>
      <c r="E136" s="6">
        <v>99.9453125</v>
      </c>
      <c r="F136" s="6">
        <v>4.125</v>
      </c>
      <c r="G136" s="6" t="s">
        <v>18</v>
      </c>
      <c r="H136" s="9">
        <f t="shared" si="1"/>
        <v>99.93359375</v>
      </c>
      <c r="I136" s="6">
        <f>DAYS(C136,Context!$C$19)</f>
        <v>948</v>
      </c>
      <c r="J136" s="10">
        <f>ACCRINT(L136,K136,Context!$C$19,F136/100,100,2,1)</f>
        <v>1.675069061</v>
      </c>
      <c r="K136" s="11">
        <f>COUPNCD(Context!$C$19,C136,2,1)</f>
        <v>45746</v>
      </c>
      <c r="L136" s="11">
        <f>COUPPCD(Context!$C$19,C136,2,1)</f>
        <v>45565</v>
      </c>
      <c r="M136" s="9">
        <f t="shared" si="2"/>
        <v>101.6086628</v>
      </c>
      <c r="N136" s="6">
        <f>(C136-Context!$C$19)/365.25</f>
        <v>2.595482546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 t="s">
        <v>15</v>
      </c>
      <c r="B137" s="7" t="s">
        <v>206</v>
      </c>
      <c r="C137" s="8" t="s">
        <v>207</v>
      </c>
      <c r="D137" s="6">
        <v>99.2734375</v>
      </c>
      <c r="E137" s="6">
        <v>99.296875</v>
      </c>
      <c r="F137" s="6">
        <v>3.875</v>
      </c>
      <c r="G137" s="6" t="s">
        <v>18</v>
      </c>
      <c r="H137" s="9">
        <f t="shared" si="1"/>
        <v>99.28515625</v>
      </c>
      <c r="I137" s="6">
        <f>DAYS(C137,Context!$C$19)</f>
        <v>963</v>
      </c>
      <c r="J137" s="10">
        <f>ACCRINT(L137,K137,Context!$C$19,F137/100,100,2,1)</f>
        <v>1.40521978</v>
      </c>
      <c r="K137" s="11">
        <f>COUPNCD(Context!$C$19,C137,2,1)</f>
        <v>45762</v>
      </c>
      <c r="L137" s="11">
        <f>COUPPCD(Context!$C$19,C137,2,1)</f>
        <v>45580</v>
      </c>
      <c r="M137" s="9">
        <f t="shared" si="2"/>
        <v>100.690376</v>
      </c>
      <c r="N137" s="6">
        <f>(C137-Context!$C$19)/365.25</f>
        <v>2.636550308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 t="s">
        <v>15</v>
      </c>
      <c r="B138" s="7" t="s">
        <v>208</v>
      </c>
      <c r="C138" s="8" t="s">
        <v>209</v>
      </c>
      <c r="D138" s="6">
        <v>99.8984375</v>
      </c>
      <c r="E138" s="6">
        <v>99.9296875</v>
      </c>
      <c r="F138" s="6">
        <v>4.125</v>
      </c>
      <c r="G138" s="6" t="s">
        <v>18</v>
      </c>
      <c r="H138" s="9">
        <f t="shared" si="1"/>
        <v>99.9140625</v>
      </c>
      <c r="I138" s="6">
        <f>DAYS(C138,Context!$C$19)</f>
        <v>979</v>
      </c>
      <c r="J138" s="10">
        <f>ACCRINT(L138,K138,Context!$C$19,F138/100,100,2,1)</f>
        <v>1.31456044</v>
      </c>
      <c r="K138" s="11">
        <f>COUPNCD(Context!$C$19,C138,2,1)</f>
        <v>45777</v>
      </c>
      <c r="L138" s="11">
        <f>COUPPCD(Context!$C$19,C138,2,1)</f>
        <v>45596</v>
      </c>
      <c r="M138" s="9">
        <f t="shared" si="2"/>
        <v>101.2286229</v>
      </c>
      <c r="N138" s="6">
        <f>(C138-Context!$C$19)/365.25</f>
        <v>2.680355921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 t="s">
        <v>15</v>
      </c>
      <c r="B139" s="7" t="s">
        <v>71</v>
      </c>
      <c r="C139" s="8" t="s">
        <v>209</v>
      </c>
      <c r="D139" s="6">
        <v>90.78125</v>
      </c>
      <c r="E139" s="6">
        <v>90.828125</v>
      </c>
      <c r="F139" s="6">
        <v>0.5</v>
      </c>
      <c r="G139" s="6" t="s">
        <v>18</v>
      </c>
      <c r="H139" s="9">
        <f t="shared" si="1"/>
        <v>90.8046875</v>
      </c>
      <c r="I139" s="6">
        <f>DAYS(C139,Context!$C$19)</f>
        <v>979</v>
      </c>
      <c r="J139" s="10">
        <f>ACCRINT(L139,K139,Context!$C$19,F139/100,100,2,1)</f>
        <v>0.1593406593</v>
      </c>
      <c r="K139" s="11">
        <f>COUPNCD(Context!$C$19,C139,2,1)</f>
        <v>45777</v>
      </c>
      <c r="L139" s="11">
        <f>COUPPCD(Context!$C$19,C139,2,1)</f>
        <v>45596</v>
      </c>
      <c r="M139" s="9">
        <f t="shared" si="2"/>
        <v>90.96402816</v>
      </c>
      <c r="N139" s="6">
        <f>(C139-Context!$C$19)/365.25</f>
        <v>2.680355921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 t="s">
        <v>15</v>
      </c>
      <c r="B140" s="7" t="s">
        <v>210</v>
      </c>
      <c r="C140" s="8" t="s">
        <v>211</v>
      </c>
      <c r="D140" s="6">
        <v>95.1015625</v>
      </c>
      <c r="E140" s="6">
        <v>95.1484375</v>
      </c>
      <c r="F140" s="6">
        <v>2.25</v>
      </c>
      <c r="G140" s="6" t="s">
        <v>18</v>
      </c>
      <c r="H140" s="9">
        <f t="shared" si="1"/>
        <v>95.125</v>
      </c>
      <c r="I140" s="6">
        <f>DAYS(C140,Context!$C$19)</f>
        <v>994</v>
      </c>
      <c r="J140" s="10">
        <f>ACCRINT(L140,K140,Context!$C$19,F140/100,100,2,1)</f>
        <v>0.6277624309</v>
      </c>
      <c r="K140" s="11">
        <f>COUPNCD(Context!$C$19,C140,2,1)</f>
        <v>45792</v>
      </c>
      <c r="L140" s="11">
        <f>COUPPCD(Context!$C$19,C140,2,1)</f>
        <v>45611</v>
      </c>
      <c r="M140" s="9">
        <f t="shared" si="2"/>
        <v>95.75276243</v>
      </c>
      <c r="N140" s="6">
        <f>(C140-Context!$C$19)/365.25</f>
        <v>2.721423682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 t="s">
        <v>15</v>
      </c>
      <c r="B141" s="7" t="s">
        <v>212</v>
      </c>
      <c r="C141" s="8" t="s">
        <v>211</v>
      </c>
      <c r="D141" s="6">
        <v>99.8828125</v>
      </c>
      <c r="E141" s="6">
        <v>99.8984375</v>
      </c>
      <c r="F141" s="6">
        <v>4.125</v>
      </c>
      <c r="G141" s="6" t="s">
        <v>18</v>
      </c>
      <c r="H141" s="9">
        <f t="shared" si="1"/>
        <v>99.890625</v>
      </c>
      <c r="I141" s="6">
        <f>DAYS(C141,Context!$C$19)</f>
        <v>994</v>
      </c>
      <c r="J141" s="10">
        <f>ACCRINT(L141,K141,Context!$C$19,F141/100,100,2,1)</f>
        <v>1.15089779</v>
      </c>
      <c r="K141" s="11">
        <f>COUPNCD(Context!$C$19,C141,2,1)</f>
        <v>45792</v>
      </c>
      <c r="L141" s="11">
        <f>COUPPCD(Context!$C$19,C141,2,1)</f>
        <v>45611</v>
      </c>
      <c r="M141" s="9">
        <f t="shared" si="2"/>
        <v>101.0415228</v>
      </c>
      <c r="N141" s="6">
        <f>(C141-Context!$C$19)/365.25</f>
        <v>2.721423682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 t="s">
        <v>15</v>
      </c>
      <c r="B142" s="7" t="s">
        <v>213</v>
      </c>
      <c r="C142" s="8" t="s">
        <v>211</v>
      </c>
      <c r="D142" s="6">
        <v>104.8203125</v>
      </c>
      <c r="E142" s="6">
        <v>105.3984375</v>
      </c>
      <c r="F142" s="6">
        <v>6.125</v>
      </c>
      <c r="G142" s="6" t="s">
        <v>18</v>
      </c>
      <c r="H142" s="9">
        <f t="shared" si="1"/>
        <v>105.109375</v>
      </c>
      <c r="I142" s="6">
        <f>DAYS(C142,Context!$C$19)</f>
        <v>994</v>
      </c>
      <c r="J142" s="10">
        <f>ACCRINT(L142,K142,Context!$C$19,F142/100,100,2,1)</f>
        <v>1.70890884</v>
      </c>
      <c r="K142" s="11">
        <f>COUPNCD(Context!$C$19,C142,2,1)</f>
        <v>45792</v>
      </c>
      <c r="L142" s="11">
        <f>COUPPCD(Context!$C$19,C142,2,1)</f>
        <v>45611</v>
      </c>
      <c r="M142" s="9">
        <f t="shared" si="2"/>
        <v>106.8182838</v>
      </c>
      <c r="N142" s="6">
        <f>(C142-Context!$C$19)/365.25</f>
        <v>2.721423682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 t="s">
        <v>15</v>
      </c>
      <c r="B143" s="7" t="s">
        <v>77</v>
      </c>
      <c r="C143" s="8" t="s">
        <v>214</v>
      </c>
      <c r="D143" s="6">
        <v>90.828125</v>
      </c>
      <c r="E143" s="6">
        <v>90.875</v>
      </c>
      <c r="F143" s="6">
        <v>0.625</v>
      </c>
      <c r="G143" s="6" t="s">
        <v>18</v>
      </c>
      <c r="H143" s="9">
        <f t="shared" si="1"/>
        <v>90.8515625</v>
      </c>
      <c r="I143" s="6">
        <f>DAYS(C143,Context!$C$19)</f>
        <v>1009</v>
      </c>
      <c r="J143" s="10">
        <f>ACCRINT(L143,K143,Context!$C$19,F143/100,100,2,1)</f>
        <v>0.148480663</v>
      </c>
      <c r="K143" s="11">
        <f>COUPNCD(Context!$C$19,C143,2,1)</f>
        <v>45807</v>
      </c>
      <c r="L143" s="11">
        <f>COUPPCD(Context!$C$19,C143,2,1)</f>
        <v>45626</v>
      </c>
      <c r="M143" s="9">
        <f t="shared" si="2"/>
        <v>91.00004316</v>
      </c>
      <c r="N143" s="6">
        <f>(C143-Context!$C$19)/365.25</f>
        <v>2.762491444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 t="s">
        <v>15</v>
      </c>
      <c r="B144" s="7" t="s">
        <v>215</v>
      </c>
      <c r="C144" s="8" t="s">
        <v>214</v>
      </c>
      <c r="D144" s="6">
        <v>99.2265625</v>
      </c>
      <c r="E144" s="6">
        <v>99.265625</v>
      </c>
      <c r="F144" s="6">
        <v>3.875</v>
      </c>
      <c r="G144" s="6" t="s">
        <v>18</v>
      </c>
      <c r="H144" s="9">
        <f t="shared" si="1"/>
        <v>99.24609375</v>
      </c>
      <c r="I144" s="6">
        <f>DAYS(C144,Context!$C$19)</f>
        <v>1009</v>
      </c>
      <c r="J144" s="10">
        <f>ACCRINT(L144,K144,Context!$C$19,F144/100,100,2,1)</f>
        <v>0.9205801105</v>
      </c>
      <c r="K144" s="11">
        <f>COUPNCD(Context!$C$19,C144,2,1)</f>
        <v>45807</v>
      </c>
      <c r="L144" s="11">
        <f>COUPPCD(Context!$C$19,C144,2,1)</f>
        <v>45626</v>
      </c>
      <c r="M144" s="9">
        <f t="shared" si="2"/>
        <v>100.1666739</v>
      </c>
      <c r="N144" s="6">
        <f>(C144-Context!$C$19)/365.25</f>
        <v>2.762491444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 t="s">
        <v>15</v>
      </c>
      <c r="B145" s="7" t="s">
        <v>216</v>
      </c>
      <c r="C145" s="8" t="s">
        <v>217</v>
      </c>
      <c r="D145" s="6">
        <v>99.5703125</v>
      </c>
      <c r="E145" s="6">
        <v>99.5859375</v>
      </c>
      <c r="F145" s="6">
        <v>4.0</v>
      </c>
      <c r="G145" s="6" t="s">
        <v>18</v>
      </c>
      <c r="H145" s="9">
        <f t="shared" si="1"/>
        <v>99.578125</v>
      </c>
      <c r="I145" s="6">
        <f>DAYS(C145,Context!$C$19)</f>
        <v>1024</v>
      </c>
      <c r="J145" s="10">
        <f>ACCRINT(L145,K145,Context!$C$19,F145/100,100,2,1)</f>
        <v>0.7802197802</v>
      </c>
      <c r="K145" s="11">
        <f>COUPNCD(Context!$C$19,C145,2,1)</f>
        <v>45823</v>
      </c>
      <c r="L145" s="11">
        <f>COUPPCD(Context!$C$19,C145,2,1)</f>
        <v>45641</v>
      </c>
      <c r="M145" s="9">
        <f t="shared" si="2"/>
        <v>100.3583448</v>
      </c>
      <c r="N145" s="6">
        <f>(C145-Context!$C$19)/365.25</f>
        <v>2.803559206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 t="s">
        <v>15</v>
      </c>
      <c r="B146" s="7" t="s">
        <v>218</v>
      </c>
      <c r="C146" s="8" t="s">
        <v>219</v>
      </c>
      <c r="D146" s="6">
        <v>99.2265625</v>
      </c>
      <c r="E146" s="6">
        <v>99.2578125</v>
      </c>
      <c r="F146" s="6">
        <v>3.875</v>
      </c>
      <c r="G146" s="6" t="s">
        <v>18</v>
      </c>
      <c r="H146" s="9">
        <f t="shared" si="1"/>
        <v>99.2421875</v>
      </c>
      <c r="I146" s="6">
        <f>DAYS(C146,Context!$C$19)</f>
        <v>1040</v>
      </c>
      <c r="J146" s="10">
        <f>ACCRINT(L146,K146,Context!$C$19,F146/100,100,2,1)</f>
        <v>0.5855082418</v>
      </c>
      <c r="K146" s="11">
        <f>COUPNCD(Context!$C$19,C146,2,1)</f>
        <v>45838</v>
      </c>
      <c r="L146" s="11">
        <f>COUPPCD(Context!$C$19,C146,2,1)</f>
        <v>45657</v>
      </c>
      <c r="M146" s="9">
        <f t="shared" si="2"/>
        <v>99.82769574</v>
      </c>
      <c r="N146" s="6">
        <f>(C146-Context!$C$19)/365.25</f>
        <v>2.847364819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 t="s">
        <v>15</v>
      </c>
      <c r="B147" s="7" t="s">
        <v>84</v>
      </c>
      <c r="C147" s="8" t="s">
        <v>219</v>
      </c>
      <c r="D147" s="6">
        <v>90.5625</v>
      </c>
      <c r="E147" s="6">
        <v>90.6015625</v>
      </c>
      <c r="F147" s="6">
        <v>0.625</v>
      </c>
      <c r="G147" s="6" t="s">
        <v>18</v>
      </c>
      <c r="H147" s="9">
        <f t="shared" si="1"/>
        <v>90.58203125</v>
      </c>
      <c r="I147" s="6">
        <f>DAYS(C147,Context!$C$19)</f>
        <v>1040</v>
      </c>
      <c r="J147" s="10">
        <f>ACCRINT(L147,K147,Context!$C$19,F147/100,100,2,1)</f>
        <v>0.09443681319</v>
      </c>
      <c r="K147" s="11">
        <f>COUPNCD(Context!$C$19,C147,2,1)</f>
        <v>45838</v>
      </c>
      <c r="L147" s="11">
        <f>COUPPCD(Context!$C$19,C147,2,1)</f>
        <v>45657</v>
      </c>
      <c r="M147" s="9">
        <f t="shared" si="2"/>
        <v>90.67646806</v>
      </c>
      <c r="N147" s="6">
        <f>(C147-Context!$C$19)/365.25</f>
        <v>2.847364819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 t="s">
        <v>15</v>
      </c>
      <c r="B148" s="7" t="s">
        <v>220</v>
      </c>
      <c r="C148" s="8" t="s">
        <v>221</v>
      </c>
      <c r="D148" s="6">
        <v>100.2109375</v>
      </c>
      <c r="E148" s="6">
        <v>100.2265625</v>
      </c>
      <c r="F148" s="6">
        <v>4.25</v>
      </c>
      <c r="G148" s="6" t="s">
        <v>18</v>
      </c>
      <c r="H148" s="9">
        <f t="shared" si="1"/>
        <v>100.21875</v>
      </c>
      <c r="I148" s="6">
        <f>DAYS(C148,Context!$C$19)</f>
        <v>1055</v>
      </c>
      <c r="J148" s="10">
        <f>ACCRINT(L148,K148,Context!$C$19,F148/100,100,2,1)</f>
        <v>0.4696132597</v>
      </c>
      <c r="K148" s="11">
        <f>COUPNCD(Context!$C$19,C148,2,1)</f>
        <v>45853</v>
      </c>
      <c r="L148" s="11">
        <f>COUPPCD(Context!$C$19,C148,2,1)</f>
        <v>45672</v>
      </c>
      <c r="M148" s="9">
        <f t="shared" si="2"/>
        <v>100.6883633</v>
      </c>
      <c r="N148" s="6">
        <f>(C148-Context!$C$19)/365.25</f>
        <v>2.88843258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 t="s">
        <v>15</v>
      </c>
      <c r="B149" s="7" t="s">
        <v>222</v>
      </c>
      <c r="C149" s="8" t="s">
        <v>223</v>
      </c>
      <c r="D149" s="6">
        <v>98.1640625</v>
      </c>
      <c r="E149" s="6">
        <v>98.203125</v>
      </c>
      <c r="F149" s="6">
        <v>3.5</v>
      </c>
      <c r="G149" s="6" t="s">
        <v>18</v>
      </c>
      <c r="H149" s="9">
        <f t="shared" si="1"/>
        <v>98.18359375</v>
      </c>
      <c r="I149" s="6">
        <f>DAYS(C149,Context!$C$19)</f>
        <v>1071</v>
      </c>
      <c r="J149" s="10">
        <f>ACCRINT(L149,K149,Context!$C$19,F149/100,100,2,1)</f>
        <v>0.2320441989</v>
      </c>
      <c r="K149" s="11">
        <f>COUPNCD(Context!$C$19,C149,2,1)</f>
        <v>45869</v>
      </c>
      <c r="L149" s="11">
        <f>COUPPCD(Context!$C$19,C149,2,1)</f>
        <v>45688</v>
      </c>
      <c r="M149" s="9">
        <f t="shared" si="2"/>
        <v>98.41563795</v>
      </c>
      <c r="N149" s="6">
        <f>(C149-Context!$C$19)/365.25</f>
        <v>2.932238193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 t="s">
        <v>15</v>
      </c>
      <c r="B150" s="7" t="s">
        <v>90</v>
      </c>
      <c r="C150" s="8" t="s">
        <v>223</v>
      </c>
      <c r="D150" s="6">
        <v>90.640625</v>
      </c>
      <c r="E150" s="6">
        <v>90.703125</v>
      </c>
      <c r="F150" s="6">
        <v>0.75</v>
      </c>
      <c r="G150" s="6" t="s">
        <v>18</v>
      </c>
      <c r="H150" s="9">
        <f t="shared" si="1"/>
        <v>90.671875</v>
      </c>
      <c r="I150" s="6">
        <f>DAYS(C150,Context!$C$19)</f>
        <v>1071</v>
      </c>
      <c r="J150" s="10">
        <f>ACCRINT(L150,K150,Context!$C$19,F150/100,100,2,1)</f>
        <v>0.04972375691</v>
      </c>
      <c r="K150" s="11">
        <f>COUPNCD(Context!$C$19,C150,2,1)</f>
        <v>45869</v>
      </c>
      <c r="L150" s="11">
        <f>COUPPCD(Context!$C$19,C150,2,1)</f>
        <v>45688</v>
      </c>
      <c r="M150" s="9">
        <f t="shared" si="2"/>
        <v>90.72159876</v>
      </c>
      <c r="N150" s="6">
        <f>(C150-Context!$C$19)/365.25</f>
        <v>2.932238193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 t="s">
        <v>15</v>
      </c>
      <c r="B151" s="7" t="s">
        <v>224</v>
      </c>
      <c r="C151" s="8" t="s">
        <v>225</v>
      </c>
      <c r="D151" s="6">
        <v>96.0390625</v>
      </c>
      <c r="E151" s="6">
        <v>96.09375</v>
      </c>
      <c r="F151" s="6">
        <v>2.75</v>
      </c>
      <c r="G151" s="6" t="s">
        <v>18</v>
      </c>
      <c r="H151" s="9">
        <f t="shared" si="1"/>
        <v>96.06640625</v>
      </c>
      <c r="I151" s="6">
        <f>DAYS(C151,Context!$C$19)</f>
        <v>1086</v>
      </c>
      <c r="J151" s="10">
        <f>ACCRINT(L151,K151,Context!$C$19,F151/100,100,2,1)</f>
        <v>0.06837016575</v>
      </c>
      <c r="K151" s="11">
        <f>COUPNCD(Context!$C$19,C151,2,1)</f>
        <v>45884</v>
      </c>
      <c r="L151" s="11">
        <f>COUPPCD(Context!$C$19,C151,2,1)</f>
        <v>45703</v>
      </c>
      <c r="M151" s="9">
        <f t="shared" si="2"/>
        <v>96.13477642</v>
      </c>
      <c r="N151" s="6">
        <f>(C151-Context!$C$19)/365.25</f>
        <v>2.973305955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 t="s">
        <v>15</v>
      </c>
      <c r="B152" s="7" t="s">
        <v>226</v>
      </c>
      <c r="C152" s="8" t="s">
        <v>225</v>
      </c>
      <c r="D152" s="6">
        <v>100.2421875</v>
      </c>
      <c r="E152" s="6">
        <v>100.25</v>
      </c>
      <c r="F152" s="6">
        <v>4.25</v>
      </c>
      <c r="G152" s="6" t="s">
        <v>18</v>
      </c>
      <c r="H152" s="9">
        <f t="shared" si="1"/>
        <v>100.2460938</v>
      </c>
      <c r="I152" s="6">
        <f>DAYS(C152,Context!$C$19)</f>
        <v>1086</v>
      </c>
      <c r="J152" s="10">
        <f>ACCRINT(L152,K152,Context!$C$19,F152/100,100,2,1)</f>
        <v>0.1056629834</v>
      </c>
      <c r="K152" s="11">
        <f>COUPNCD(Context!$C$19,C152,2,1)</f>
        <v>45884</v>
      </c>
      <c r="L152" s="11">
        <f>COUPPCD(Context!$C$19,C152,2,1)</f>
        <v>45703</v>
      </c>
      <c r="M152" s="9">
        <f t="shared" si="2"/>
        <v>100.3517567</v>
      </c>
      <c r="N152" s="6">
        <f>(C152-Context!$C$19)/365.25</f>
        <v>2.973305955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 t="s">
        <v>15</v>
      </c>
      <c r="B153" s="7" t="s">
        <v>19</v>
      </c>
      <c r="C153" s="8" t="s">
        <v>227</v>
      </c>
      <c r="D153" s="6">
        <v>99.5</v>
      </c>
      <c r="E153" s="6">
        <v>99.53125</v>
      </c>
      <c r="F153" s="6">
        <v>4.0</v>
      </c>
      <c r="G153" s="6" t="s">
        <v>18</v>
      </c>
      <c r="H153" s="9">
        <f t="shared" si="1"/>
        <v>99.515625</v>
      </c>
      <c r="I153" s="6">
        <f>DAYS(C153,Context!$C$19)</f>
        <v>1100</v>
      </c>
      <c r="J153" s="10">
        <f>ACCRINT(L153,K153,Context!$C$19,F153/100,100,2,1)</f>
        <v>1.945652174</v>
      </c>
      <c r="K153" s="11">
        <f>COUPNCD(Context!$C$19,C153,2,1)</f>
        <v>45716</v>
      </c>
      <c r="L153" s="11">
        <f>COUPPCD(Context!$C$19,C153,2,1)</f>
        <v>45533</v>
      </c>
      <c r="M153" s="9">
        <f t="shared" si="2"/>
        <v>101.4612772</v>
      </c>
      <c r="N153" s="6">
        <f>(C153-Context!$C$19)/365.25</f>
        <v>3.011635866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 t="s">
        <v>15</v>
      </c>
      <c r="B154" s="7" t="s">
        <v>98</v>
      </c>
      <c r="C154" s="8" t="s">
        <v>227</v>
      </c>
      <c r="D154" s="6">
        <v>91.4765625</v>
      </c>
      <c r="E154" s="6">
        <v>91.5234375</v>
      </c>
      <c r="F154" s="6">
        <v>1.125</v>
      </c>
      <c r="G154" s="6" t="s">
        <v>18</v>
      </c>
      <c r="H154" s="9">
        <f t="shared" si="1"/>
        <v>91.5</v>
      </c>
      <c r="I154" s="6">
        <f>DAYS(C154,Context!$C$19)</f>
        <v>1100</v>
      </c>
      <c r="J154" s="10">
        <f>ACCRINT(L154,K154,Context!$C$19,F154/100,100,2,1)</f>
        <v>0.5472146739</v>
      </c>
      <c r="K154" s="11">
        <f>COUPNCD(Context!$C$19,C154,2,1)</f>
        <v>45716</v>
      </c>
      <c r="L154" s="11">
        <f>COUPPCD(Context!$C$19,C154,2,1)</f>
        <v>45533</v>
      </c>
      <c r="M154" s="9">
        <f t="shared" si="2"/>
        <v>92.04721467</v>
      </c>
      <c r="N154" s="6">
        <f>(C154-Context!$C$19)/365.25</f>
        <v>3.011635866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 t="s">
        <v>15</v>
      </c>
      <c r="B155" s="7" t="s">
        <v>101</v>
      </c>
      <c r="C155" s="8" t="s">
        <v>228</v>
      </c>
      <c r="D155" s="6">
        <v>91.6015625</v>
      </c>
      <c r="E155" s="6">
        <v>91.65625</v>
      </c>
      <c r="F155" s="6">
        <v>1.25</v>
      </c>
      <c r="G155" s="6" t="s">
        <v>18</v>
      </c>
      <c r="H155" s="9">
        <f t="shared" si="1"/>
        <v>91.62890625</v>
      </c>
      <c r="I155" s="6">
        <f>DAYS(C155,Context!$C$19)</f>
        <v>1131</v>
      </c>
      <c r="J155" s="10">
        <f>ACCRINT(L155,K155,Context!$C$19,F155/100,100,2,1)</f>
        <v>0.5048076923</v>
      </c>
      <c r="K155" s="11">
        <f>COUPNCD(Context!$C$19,C155,2,1)</f>
        <v>45747</v>
      </c>
      <c r="L155" s="11">
        <f>COUPPCD(Context!$C$19,C155,2,1)</f>
        <v>45565</v>
      </c>
      <c r="M155" s="9">
        <f t="shared" si="2"/>
        <v>92.13371394</v>
      </c>
      <c r="N155" s="6">
        <f>(C155-Context!$C$19)/365.25</f>
        <v>3.09650924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 t="s">
        <v>15</v>
      </c>
      <c r="B156" s="7" t="s">
        <v>25</v>
      </c>
      <c r="C156" s="8" t="s">
        <v>228</v>
      </c>
      <c r="D156" s="6">
        <v>98.421875</v>
      </c>
      <c r="E156" s="6">
        <v>98.453125</v>
      </c>
      <c r="F156" s="6">
        <v>3.625</v>
      </c>
      <c r="G156" s="6" t="s">
        <v>18</v>
      </c>
      <c r="H156" s="9">
        <f t="shared" si="1"/>
        <v>98.4375</v>
      </c>
      <c r="I156" s="6">
        <f>DAYS(C156,Context!$C$19)</f>
        <v>1131</v>
      </c>
      <c r="J156" s="10">
        <f>ACCRINT(L156,K156,Context!$C$19,F156/100,100,2,1)</f>
        <v>1.463942308</v>
      </c>
      <c r="K156" s="11">
        <f>COUPNCD(Context!$C$19,C156,2,1)</f>
        <v>45747</v>
      </c>
      <c r="L156" s="11">
        <f>COUPPCD(Context!$C$19,C156,2,1)</f>
        <v>45565</v>
      </c>
      <c r="M156" s="9">
        <f t="shared" si="2"/>
        <v>99.90144231</v>
      </c>
      <c r="N156" s="6">
        <f>(C156-Context!$C$19)/365.25</f>
        <v>3.09650924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 t="s">
        <v>15</v>
      </c>
      <c r="B157" s="7" t="s">
        <v>109</v>
      </c>
      <c r="C157" s="8" t="s">
        <v>229</v>
      </c>
      <c r="D157" s="6">
        <v>91.3671875</v>
      </c>
      <c r="E157" s="6">
        <v>91.4140625</v>
      </c>
      <c r="F157" s="6">
        <v>1.25</v>
      </c>
      <c r="G157" s="6" t="s">
        <v>18</v>
      </c>
      <c r="H157" s="9">
        <f t="shared" si="1"/>
        <v>91.390625</v>
      </c>
      <c r="I157" s="6">
        <f>DAYS(C157,Context!$C$19)</f>
        <v>1161</v>
      </c>
      <c r="J157" s="10">
        <f>ACCRINT(L157,K157,Context!$C$19,F157/100,100,2,1)</f>
        <v>0.4017857143</v>
      </c>
      <c r="K157" s="11">
        <f>COUPNCD(Context!$C$19,C157,2,1)</f>
        <v>45777</v>
      </c>
      <c r="L157" s="11">
        <f>COUPPCD(Context!$C$19,C157,2,1)</f>
        <v>45595</v>
      </c>
      <c r="M157" s="9">
        <f t="shared" si="2"/>
        <v>91.79241071</v>
      </c>
      <c r="N157" s="6">
        <f>(C157-Context!$C$19)/365.25</f>
        <v>3.178644764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 t="s">
        <v>15</v>
      </c>
      <c r="B158" s="7" t="s">
        <v>32</v>
      </c>
      <c r="C158" s="8" t="s">
        <v>229</v>
      </c>
      <c r="D158" s="6">
        <v>97.9921875</v>
      </c>
      <c r="E158" s="6">
        <v>98.03125</v>
      </c>
      <c r="F158" s="6">
        <v>3.5</v>
      </c>
      <c r="G158" s="6" t="s">
        <v>18</v>
      </c>
      <c r="H158" s="9">
        <f t="shared" si="1"/>
        <v>98.01171875</v>
      </c>
      <c r="I158" s="6">
        <f>DAYS(C158,Context!$C$19)</f>
        <v>1161</v>
      </c>
      <c r="J158" s="10">
        <f>ACCRINT(L158,K158,Context!$C$19,F158/100,100,2,1)</f>
        <v>1.125</v>
      </c>
      <c r="K158" s="11">
        <f>COUPNCD(Context!$C$19,C158,2,1)</f>
        <v>45777</v>
      </c>
      <c r="L158" s="11">
        <f>COUPPCD(Context!$C$19,C158,2,1)</f>
        <v>45595</v>
      </c>
      <c r="M158" s="9">
        <f t="shared" si="2"/>
        <v>99.13671875</v>
      </c>
      <c r="N158" s="6">
        <f>(C158-Context!$C$19)/365.25</f>
        <v>3.178644764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 t="s">
        <v>15</v>
      </c>
      <c r="B159" s="7" t="s">
        <v>230</v>
      </c>
      <c r="C159" s="8" t="s">
        <v>231</v>
      </c>
      <c r="D159" s="6">
        <v>96.1015625</v>
      </c>
      <c r="E159" s="6">
        <v>96.140625</v>
      </c>
      <c r="F159" s="6">
        <v>2.875</v>
      </c>
      <c r="G159" s="6" t="s">
        <v>18</v>
      </c>
      <c r="H159" s="9">
        <f t="shared" si="1"/>
        <v>96.12109375</v>
      </c>
      <c r="I159" s="6">
        <f>DAYS(C159,Context!$C$19)</f>
        <v>1176</v>
      </c>
      <c r="J159" s="10">
        <f>ACCRINT(L159,K159,Context!$C$19,F159/100,100,2,1)</f>
        <v>0.802140884</v>
      </c>
      <c r="K159" s="11">
        <f>COUPNCD(Context!$C$19,C159,2,1)</f>
        <v>45792</v>
      </c>
      <c r="L159" s="11">
        <f>COUPPCD(Context!$C$19,C159,2,1)</f>
        <v>45611</v>
      </c>
      <c r="M159" s="9">
        <f t="shared" si="2"/>
        <v>96.92323463</v>
      </c>
      <c r="N159" s="6">
        <f>(C159-Context!$C$19)/365.25</f>
        <v>3.219712526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 t="s">
        <v>15</v>
      </c>
      <c r="B160" s="7" t="s">
        <v>38</v>
      </c>
      <c r="C160" s="8" t="s">
        <v>232</v>
      </c>
      <c r="D160" s="6">
        <v>98.3125</v>
      </c>
      <c r="E160" s="6">
        <v>98.34375</v>
      </c>
      <c r="F160" s="6">
        <v>3.625</v>
      </c>
      <c r="G160" s="6" t="s">
        <v>18</v>
      </c>
      <c r="H160" s="9">
        <f t="shared" si="1"/>
        <v>98.328125</v>
      </c>
      <c r="I160" s="6">
        <f>DAYS(C160,Context!$C$19)</f>
        <v>1192</v>
      </c>
      <c r="J160" s="10">
        <f>ACCRINT(L160,K160,Context!$C$19,F160/100,100,2,1)</f>
        <v>0.856456044</v>
      </c>
      <c r="K160" s="11">
        <f>COUPNCD(Context!$C$19,C160,2,1)</f>
        <v>45808</v>
      </c>
      <c r="L160" s="11">
        <f>COUPPCD(Context!$C$19,C160,2,1)</f>
        <v>45626</v>
      </c>
      <c r="M160" s="9">
        <f t="shared" si="2"/>
        <v>99.18458104</v>
      </c>
      <c r="N160" s="6">
        <f>(C160-Context!$C$19)/365.25</f>
        <v>3.263518138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 t="s">
        <v>15</v>
      </c>
      <c r="B161" s="7" t="s">
        <v>117</v>
      </c>
      <c r="C161" s="8" t="s">
        <v>232</v>
      </c>
      <c r="D161" s="6">
        <v>91.1171875</v>
      </c>
      <c r="E161" s="6">
        <v>91.1953125</v>
      </c>
      <c r="F161" s="6">
        <v>1.25</v>
      </c>
      <c r="G161" s="6" t="s">
        <v>18</v>
      </c>
      <c r="H161" s="9">
        <f t="shared" si="1"/>
        <v>91.15625</v>
      </c>
      <c r="I161" s="6">
        <f>DAYS(C161,Context!$C$19)</f>
        <v>1192</v>
      </c>
      <c r="J161" s="10">
        <f>ACCRINT(L161,K161,Context!$C$19,F161/100,100,2,1)</f>
        <v>0.2953296703</v>
      </c>
      <c r="K161" s="11">
        <f>COUPNCD(Context!$C$19,C161,2,1)</f>
        <v>45808</v>
      </c>
      <c r="L161" s="11">
        <f>COUPPCD(Context!$C$19,C161,2,1)</f>
        <v>45626</v>
      </c>
      <c r="M161" s="9">
        <f t="shared" si="2"/>
        <v>91.45157967</v>
      </c>
      <c r="N161" s="6">
        <f>(C161-Context!$C$19)/365.25</f>
        <v>3.263518138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 t="s">
        <v>15</v>
      </c>
      <c r="B162" s="7" t="s">
        <v>120</v>
      </c>
      <c r="C162" s="8" t="s">
        <v>233</v>
      </c>
      <c r="D162" s="6">
        <v>90.90625</v>
      </c>
      <c r="E162" s="6">
        <v>90.953125</v>
      </c>
      <c r="F162" s="6">
        <v>1.25</v>
      </c>
      <c r="G162" s="6" t="s">
        <v>18</v>
      </c>
      <c r="H162" s="9">
        <f t="shared" si="1"/>
        <v>90.9296875</v>
      </c>
      <c r="I162" s="6">
        <f>DAYS(C162,Context!$C$19)</f>
        <v>1222</v>
      </c>
      <c r="J162" s="10">
        <f>ACCRINT(L162,K162,Context!$C$19,F162/100,100,2,1)</f>
        <v>0.1923076923</v>
      </c>
      <c r="K162" s="11">
        <f>COUPNCD(Context!$C$19,C162,2,1)</f>
        <v>45838</v>
      </c>
      <c r="L162" s="11">
        <f>COUPPCD(Context!$C$19,C162,2,1)</f>
        <v>45656</v>
      </c>
      <c r="M162" s="9">
        <f t="shared" si="2"/>
        <v>91.12199519</v>
      </c>
      <c r="N162" s="6">
        <f>(C162-Context!$C$19)/365.25</f>
        <v>3.345653662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 t="s">
        <v>15</v>
      </c>
      <c r="B163" s="7" t="s">
        <v>44</v>
      </c>
      <c r="C163" s="8" t="s">
        <v>233</v>
      </c>
      <c r="D163" s="6">
        <v>99.4453125</v>
      </c>
      <c r="E163" s="6">
        <v>99.4765625</v>
      </c>
      <c r="F163" s="6">
        <v>4.0</v>
      </c>
      <c r="G163" s="6" t="s">
        <v>18</v>
      </c>
      <c r="H163" s="9">
        <f t="shared" si="1"/>
        <v>99.4609375</v>
      </c>
      <c r="I163" s="6">
        <f>DAYS(C163,Context!$C$19)</f>
        <v>1222</v>
      </c>
      <c r="J163" s="10">
        <f>ACCRINT(L163,K163,Context!$C$19,F163/100,100,2,1)</f>
        <v>0.6153846154</v>
      </c>
      <c r="K163" s="11">
        <f>COUPNCD(Context!$C$19,C163,2,1)</f>
        <v>45838</v>
      </c>
      <c r="L163" s="11">
        <f>COUPPCD(Context!$C$19,C163,2,1)</f>
        <v>45656</v>
      </c>
      <c r="M163" s="9">
        <f t="shared" si="2"/>
        <v>100.0763221</v>
      </c>
      <c r="N163" s="6">
        <f>(C163-Context!$C$19)/365.25</f>
        <v>3.345653662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 t="s">
        <v>15</v>
      </c>
      <c r="B164" s="7" t="s">
        <v>51</v>
      </c>
      <c r="C164" s="8" t="s">
        <v>234</v>
      </c>
      <c r="D164" s="6">
        <v>99.8125</v>
      </c>
      <c r="E164" s="6">
        <v>99.84375</v>
      </c>
      <c r="F164" s="6">
        <v>4.125</v>
      </c>
      <c r="G164" s="6" t="s">
        <v>18</v>
      </c>
      <c r="H164" s="9">
        <f t="shared" si="1"/>
        <v>99.828125</v>
      </c>
      <c r="I164" s="6">
        <f>DAYS(C164,Context!$C$19)</f>
        <v>1253</v>
      </c>
      <c r="J164" s="10">
        <f>ACCRINT(L164,K164,Context!$C$19,F164/100,100,2,1)</f>
        <v>0.273480663</v>
      </c>
      <c r="K164" s="11">
        <f>COUPNCD(Context!$C$19,C164,2,1)</f>
        <v>45869</v>
      </c>
      <c r="L164" s="11">
        <f>COUPPCD(Context!$C$19,C164,2,1)</f>
        <v>45688</v>
      </c>
      <c r="M164" s="9">
        <f t="shared" si="2"/>
        <v>100.1016057</v>
      </c>
      <c r="N164" s="6">
        <f>(C164-Context!$C$19)/365.25</f>
        <v>3.430527036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 t="s">
        <v>15</v>
      </c>
      <c r="B165" s="7" t="s">
        <v>129</v>
      </c>
      <c r="C165" s="8" t="s">
        <v>234</v>
      </c>
      <c r="D165" s="6">
        <v>89.9140625</v>
      </c>
      <c r="E165" s="6">
        <v>89.96875</v>
      </c>
      <c r="F165" s="6">
        <v>1.0</v>
      </c>
      <c r="G165" s="6" t="s">
        <v>18</v>
      </c>
      <c r="H165" s="9">
        <f t="shared" si="1"/>
        <v>89.94140625</v>
      </c>
      <c r="I165" s="6">
        <f>DAYS(C165,Context!$C$19)</f>
        <v>1253</v>
      </c>
      <c r="J165" s="10">
        <f>ACCRINT(L165,K165,Context!$C$19,F165/100,100,2,1)</f>
        <v>0.06629834254</v>
      </c>
      <c r="K165" s="11">
        <f>COUPNCD(Context!$C$19,C165,2,1)</f>
        <v>45869</v>
      </c>
      <c r="L165" s="11">
        <f>COUPPCD(Context!$C$19,C165,2,1)</f>
        <v>45688</v>
      </c>
      <c r="M165" s="9">
        <f t="shared" si="2"/>
        <v>90.00770459</v>
      </c>
      <c r="N165" s="6">
        <f>(C165-Context!$C$19)/365.25</f>
        <v>3.430527036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 t="s">
        <v>15</v>
      </c>
      <c r="B166" s="7" t="s">
        <v>235</v>
      </c>
      <c r="C166" s="8" t="s">
        <v>236</v>
      </c>
      <c r="D166" s="6">
        <v>95.7890625</v>
      </c>
      <c r="E166" s="6">
        <v>95.828125</v>
      </c>
      <c r="F166" s="6">
        <v>2.875</v>
      </c>
      <c r="G166" s="6" t="s">
        <v>18</v>
      </c>
      <c r="H166" s="9">
        <f t="shared" si="1"/>
        <v>95.80859375</v>
      </c>
      <c r="I166" s="6">
        <f>DAYS(C166,Context!$C$19)</f>
        <v>1268</v>
      </c>
      <c r="J166" s="10">
        <f>ACCRINT(L166,K166,Context!$C$19,F166/100,100,2,1)</f>
        <v>0.07147790055</v>
      </c>
      <c r="K166" s="11">
        <f>COUPNCD(Context!$C$19,C166,2,1)</f>
        <v>45884</v>
      </c>
      <c r="L166" s="11">
        <f>COUPPCD(Context!$C$19,C166,2,1)</f>
        <v>45703</v>
      </c>
      <c r="M166" s="9">
        <f t="shared" si="2"/>
        <v>95.88007165</v>
      </c>
      <c r="N166" s="6">
        <f>(C166-Context!$C$19)/365.25</f>
        <v>3.471594798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 t="s">
        <v>15</v>
      </c>
      <c r="B167" s="7" t="s">
        <v>237</v>
      </c>
      <c r="C167" s="8" t="s">
        <v>236</v>
      </c>
      <c r="D167" s="6">
        <v>104.3671875</v>
      </c>
      <c r="E167" s="6">
        <v>104.65625</v>
      </c>
      <c r="F167" s="6">
        <v>5.5</v>
      </c>
      <c r="G167" s="6" t="s">
        <v>18</v>
      </c>
      <c r="H167" s="9">
        <f t="shared" si="1"/>
        <v>104.5117188</v>
      </c>
      <c r="I167" s="6">
        <f>DAYS(C167,Context!$C$19)</f>
        <v>1268</v>
      </c>
      <c r="J167" s="10">
        <f>ACCRINT(L167,K167,Context!$C$19,F167/100,100,2,1)</f>
        <v>0.1367403315</v>
      </c>
      <c r="K167" s="11">
        <f>COUPNCD(Context!$C$19,C167,2,1)</f>
        <v>45884</v>
      </c>
      <c r="L167" s="11">
        <f>COUPPCD(Context!$C$19,C167,2,1)</f>
        <v>45703</v>
      </c>
      <c r="M167" s="9">
        <f t="shared" si="2"/>
        <v>104.6484591</v>
      </c>
      <c r="N167" s="6">
        <f>(C167-Context!$C$19)/365.25</f>
        <v>3.471594798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 t="s">
        <v>15</v>
      </c>
      <c r="B168" s="7" t="s">
        <v>134</v>
      </c>
      <c r="C168" s="8" t="s">
        <v>238</v>
      </c>
      <c r="D168" s="6">
        <v>90.0703125</v>
      </c>
      <c r="E168" s="6">
        <v>90.1171875</v>
      </c>
      <c r="F168" s="6">
        <v>1.125</v>
      </c>
      <c r="G168" s="6" t="s">
        <v>18</v>
      </c>
      <c r="H168" s="9">
        <f t="shared" si="1"/>
        <v>90.09375</v>
      </c>
      <c r="I168" s="6">
        <f>DAYS(C168,Context!$C$19)</f>
        <v>1284</v>
      </c>
      <c r="J168" s="10">
        <f>ACCRINT(L168,K168,Context!$C$19,F168/100,100,2,1)</f>
        <v>0.5411005435</v>
      </c>
      <c r="K168" s="11">
        <f>COUPNCD(Context!$C$19,C168,2,1)</f>
        <v>45716</v>
      </c>
      <c r="L168" s="11">
        <f>COUPPCD(Context!$C$19,C168,2,1)</f>
        <v>45535</v>
      </c>
      <c r="M168" s="9">
        <f t="shared" si="2"/>
        <v>90.63485054</v>
      </c>
      <c r="N168" s="6">
        <f>(C168-Context!$C$19)/365.25</f>
        <v>3.515400411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 t="s">
        <v>15</v>
      </c>
      <c r="B169" s="7" t="s">
        <v>59</v>
      </c>
      <c r="C169" s="8" t="s">
        <v>238</v>
      </c>
      <c r="D169" s="6">
        <v>100.578125</v>
      </c>
      <c r="E169" s="6">
        <v>100.609375</v>
      </c>
      <c r="F169" s="6">
        <v>4.375</v>
      </c>
      <c r="G169" s="6" t="s">
        <v>18</v>
      </c>
      <c r="H169" s="9">
        <f t="shared" si="1"/>
        <v>100.59375</v>
      </c>
      <c r="I169" s="6">
        <f>DAYS(C169,Context!$C$19)</f>
        <v>1284</v>
      </c>
      <c r="J169" s="10">
        <f>ACCRINT(L169,K169,Context!$C$19,F169/100,100,2,1)</f>
        <v>2.104279891</v>
      </c>
      <c r="K169" s="11">
        <f>COUPNCD(Context!$C$19,C169,2,1)</f>
        <v>45716</v>
      </c>
      <c r="L169" s="11">
        <f>COUPPCD(Context!$C$19,C169,2,1)</f>
        <v>45535</v>
      </c>
      <c r="M169" s="9">
        <f t="shared" si="2"/>
        <v>102.6980299</v>
      </c>
      <c r="N169" s="6">
        <f>(C169-Context!$C$19)/365.25</f>
        <v>3.515400411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 t="s">
        <v>15</v>
      </c>
      <c r="B170" s="7" t="s">
        <v>64</v>
      </c>
      <c r="C170" s="8" t="s">
        <v>239</v>
      </c>
      <c r="D170" s="6">
        <v>101.421875</v>
      </c>
      <c r="E170" s="6">
        <v>101.453125</v>
      </c>
      <c r="F170" s="6">
        <v>4.625</v>
      </c>
      <c r="G170" s="6" t="s">
        <v>18</v>
      </c>
      <c r="H170" s="9">
        <f t="shared" si="1"/>
        <v>101.4375</v>
      </c>
      <c r="I170" s="6">
        <f>DAYS(C170,Context!$C$19)</f>
        <v>1314</v>
      </c>
      <c r="J170" s="10">
        <f>ACCRINT(L170,K170,Context!$C$19,F170/100,100,2,1)</f>
        <v>1.878107735</v>
      </c>
      <c r="K170" s="11">
        <f>COUPNCD(Context!$C$19,C170,2,1)</f>
        <v>45746</v>
      </c>
      <c r="L170" s="11">
        <f>COUPPCD(Context!$C$19,C170,2,1)</f>
        <v>45565</v>
      </c>
      <c r="M170" s="9">
        <f t="shared" si="2"/>
        <v>103.3156077</v>
      </c>
      <c r="N170" s="6">
        <f>(C170-Context!$C$19)/365.25</f>
        <v>3.597535934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 t="s">
        <v>15</v>
      </c>
      <c r="B171" s="7" t="s">
        <v>142</v>
      </c>
      <c r="C171" s="8" t="s">
        <v>239</v>
      </c>
      <c r="D171" s="6">
        <v>90.2734375</v>
      </c>
      <c r="E171" s="6">
        <v>90.3203125</v>
      </c>
      <c r="F171" s="6">
        <v>1.25</v>
      </c>
      <c r="G171" s="6" t="s">
        <v>18</v>
      </c>
      <c r="H171" s="9">
        <f t="shared" si="1"/>
        <v>90.296875</v>
      </c>
      <c r="I171" s="6">
        <f>DAYS(C171,Context!$C$19)</f>
        <v>1314</v>
      </c>
      <c r="J171" s="10">
        <f>ACCRINT(L171,K171,Context!$C$19,F171/100,100,2,1)</f>
        <v>0.5075966851</v>
      </c>
      <c r="K171" s="11">
        <f>COUPNCD(Context!$C$19,C171,2,1)</f>
        <v>45746</v>
      </c>
      <c r="L171" s="11">
        <f>COUPPCD(Context!$C$19,C171,2,1)</f>
        <v>45565</v>
      </c>
      <c r="M171" s="9">
        <f t="shared" si="2"/>
        <v>90.80447169</v>
      </c>
      <c r="N171" s="6">
        <f>(C171-Context!$C$19)/365.25</f>
        <v>3.597535934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 t="s">
        <v>15</v>
      </c>
      <c r="B172" s="7" t="s">
        <v>70</v>
      </c>
      <c r="C172" s="8" t="s">
        <v>240</v>
      </c>
      <c r="D172" s="6">
        <v>102.28125</v>
      </c>
      <c r="E172" s="6">
        <v>102.3125</v>
      </c>
      <c r="F172" s="6">
        <v>4.875</v>
      </c>
      <c r="G172" s="6" t="s">
        <v>18</v>
      </c>
      <c r="H172" s="9">
        <f t="shared" si="1"/>
        <v>102.296875</v>
      </c>
      <c r="I172" s="6">
        <f>DAYS(C172,Context!$C$19)</f>
        <v>1345</v>
      </c>
      <c r="J172" s="10">
        <f>ACCRINT(L172,K172,Context!$C$19,F172/100,100,2,1)</f>
        <v>1.553571429</v>
      </c>
      <c r="K172" s="11">
        <f>COUPNCD(Context!$C$19,C172,2,1)</f>
        <v>45777</v>
      </c>
      <c r="L172" s="11">
        <f>COUPPCD(Context!$C$19,C172,2,1)</f>
        <v>45596</v>
      </c>
      <c r="M172" s="9">
        <f t="shared" si="2"/>
        <v>103.8504464</v>
      </c>
      <c r="N172" s="6">
        <f>(C172-Context!$C$19)/365.25</f>
        <v>3.682409309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 t="s">
        <v>15</v>
      </c>
      <c r="B173" s="7" t="s">
        <v>149</v>
      </c>
      <c r="C173" s="8" t="s">
        <v>240</v>
      </c>
      <c r="D173" s="6">
        <v>90.46875</v>
      </c>
      <c r="E173" s="6">
        <v>90.515625</v>
      </c>
      <c r="F173" s="6">
        <v>1.375</v>
      </c>
      <c r="G173" s="6" t="s">
        <v>18</v>
      </c>
      <c r="H173" s="9">
        <f t="shared" si="1"/>
        <v>90.4921875</v>
      </c>
      <c r="I173" s="6">
        <f>DAYS(C173,Context!$C$19)</f>
        <v>1345</v>
      </c>
      <c r="J173" s="10">
        <f>ACCRINT(L173,K173,Context!$C$19,F173/100,100,2,1)</f>
        <v>0.4381868132</v>
      </c>
      <c r="K173" s="11">
        <f>COUPNCD(Context!$C$19,C173,2,1)</f>
        <v>45777</v>
      </c>
      <c r="L173" s="11">
        <f>COUPPCD(Context!$C$19,C173,2,1)</f>
        <v>45596</v>
      </c>
      <c r="M173" s="9">
        <f t="shared" si="2"/>
        <v>90.93037431</v>
      </c>
      <c r="N173" s="6">
        <f>(C173-Context!$C$19)/365.25</f>
        <v>3.682409309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 t="s">
        <v>15</v>
      </c>
      <c r="B174" s="7" t="s">
        <v>241</v>
      </c>
      <c r="C174" s="8" t="s">
        <v>242</v>
      </c>
      <c r="D174" s="6">
        <v>96.3203125</v>
      </c>
      <c r="E174" s="6">
        <v>96.359375</v>
      </c>
      <c r="F174" s="6">
        <v>3.125</v>
      </c>
      <c r="G174" s="6" t="s">
        <v>18</v>
      </c>
      <c r="H174" s="9">
        <f t="shared" si="1"/>
        <v>96.33984375</v>
      </c>
      <c r="I174" s="6">
        <f>DAYS(C174,Context!$C$19)</f>
        <v>1360</v>
      </c>
      <c r="J174" s="10">
        <f>ACCRINT(L174,K174,Context!$C$19,F174/100,100,2,1)</f>
        <v>0.8718922652</v>
      </c>
      <c r="K174" s="11">
        <f>COUPNCD(Context!$C$19,C174,2,1)</f>
        <v>45792</v>
      </c>
      <c r="L174" s="11">
        <f>COUPPCD(Context!$C$19,C174,2,1)</f>
        <v>45611</v>
      </c>
      <c r="M174" s="9">
        <f t="shared" si="2"/>
        <v>97.21173602</v>
      </c>
      <c r="N174" s="6">
        <f>(C174-Context!$C$19)/365.25</f>
        <v>3.72347707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 t="s">
        <v>15</v>
      </c>
      <c r="B175" s="7" t="s">
        <v>243</v>
      </c>
      <c r="C175" s="8" t="s">
        <v>242</v>
      </c>
      <c r="D175" s="6">
        <v>103.4296875</v>
      </c>
      <c r="E175" s="6">
        <v>103.7421875</v>
      </c>
      <c r="F175" s="6">
        <v>5.25</v>
      </c>
      <c r="G175" s="6" t="s">
        <v>18</v>
      </c>
      <c r="H175" s="9">
        <f t="shared" si="1"/>
        <v>103.5859375</v>
      </c>
      <c r="I175" s="6">
        <f>DAYS(C175,Context!$C$19)</f>
        <v>1360</v>
      </c>
      <c r="J175" s="10">
        <f>ACCRINT(L175,K175,Context!$C$19,F175/100,100,2,1)</f>
        <v>1.464779006</v>
      </c>
      <c r="K175" s="11">
        <f>COUPNCD(Context!$C$19,C175,2,1)</f>
        <v>45792</v>
      </c>
      <c r="L175" s="11">
        <f>COUPPCD(Context!$C$19,C175,2,1)</f>
        <v>45611</v>
      </c>
      <c r="M175" s="9">
        <f t="shared" si="2"/>
        <v>105.0507165</v>
      </c>
      <c r="N175" s="6">
        <f>(C175-Context!$C$19)/365.25</f>
        <v>3.72347707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 t="s">
        <v>15</v>
      </c>
      <c r="B176" s="7" t="s">
        <v>154</v>
      </c>
      <c r="C176" s="8" t="s">
        <v>244</v>
      </c>
      <c r="D176" s="6">
        <v>90.6953125</v>
      </c>
      <c r="E176" s="6">
        <v>90.7578125</v>
      </c>
      <c r="F176" s="6">
        <v>1.5</v>
      </c>
      <c r="G176" s="6" t="s">
        <v>18</v>
      </c>
      <c r="H176" s="9">
        <f t="shared" si="1"/>
        <v>90.7265625</v>
      </c>
      <c r="I176" s="6">
        <f>DAYS(C176,Context!$C$19)</f>
        <v>1375</v>
      </c>
      <c r="J176" s="10">
        <f>ACCRINT(L176,K176,Context!$C$19,F176/100,100,2,1)</f>
        <v>0.3563535912</v>
      </c>
      <c r="K176" s="11">
        <f>COUPNCD(Context!$C$19,C176,2,1)</f>
        <v>45807</v>
      </c>
      <c r="L176" s="11">
        <f>COUPPCD(Context!$C$19,C176,2,1)</f>
        <v>45626</v>
      </c>
      <c r="M176" s="9">
        <f t="shared" si="2"/>
        <v>91.08291609</v>
      </c>
      <c r="N176" s="6">
        <f>(C176-Context!$C$19)/365.25</f>
        <v>3.764544832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 t="s">
        <v>15</v>
      </c>
      <c r="B177" s="7" t="s">
        <v>78</v>
      </c>
      <c r="C177" s="8" t="s">
        <v>244</v>
      </c>
      <c r="D177" s="6">
        <v>100.5859375</v>
      </c>
      <c r="E177" s="6">
        <v>100.6171875</v>
      </c>
      <c r="F177" s="6">
        <v>4.375</v>
      </c>
      <c r="G177" s="6" t="s">
        <v>18</v>
      </c>
      <c r="H177" s="9">
        <f t="shared" si="1"/>
        <v>100.6015625</v>
      </c>
      <c r="I177" s="6">
        <f>DAYS(C177,Context!$C$19)</f>
        <v>1375</v>
      </c>
      <c r="J177" s="10">
        <f>ACCRINT(L177,K177,Context!$C$19,F177/100,100,2,1)</f>
        <v>1.039364641</v>
      </c>
      <c r="K177" s="11">
        <f>COUPNCD(Context!$C$19,C177,2,1)</f>
        <v>45807</v>
      </c>
      <c r="L177" s="11">
        <f>COUPPCD(Context!$C$19,C177,2,1)</f>
        <v>45626</v>
      </c>
      <c r="M177" s="9">
        <f t="shared" si="2"/>
        <v>101.6409271</v>
      </c>
      <c r="N177" s="6">
        <f>(C177-Context!$C$19)/365.25</f>
        <v>3.764544832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 t="s">
        <v>15</v>
      </c>
      <c r="B178" s="7" t="s">
        <v>81</v>
      </c>
      <c r="C178" s="8" t="s">
        <v>245</v>
      </c>
      <c r="D178" s="6">
        <v>98.40625</v>
      </c>
      <c r="E178" s="6">
        <v>98.4296875</v>
      </c>
      <c r="F178" s="6">
        <v>3.75</v>
      </c>
      <c r="G178" s="6" t="s">
        <v>18</v>
      </c>
      <c r="H178" s="9">
        <f t="shared" si="1"/>
        <v>98.41796875</v>
      </c>
      <c r="I178" s="6">
        <f>DAYS(C178,Context!$C$19)</f>
        <v>1406</v>
      </c>
      <c r="J178" s="10">
        <f>ACCRINT(L178,K178,Context!$C$19,F178/100,100,2,1)</f>
        <v>0.5666208791</v>
      </c>
      <c r="K178" s="11">
        <f>COUPNCD(Context!$C$19,C178,2,1)</f>
        <v>45838</v>
      </c>
      <c r="L178" s="11">
        <f>COUPPCD(Context!$C$19,C178,2,1)</f>
        <v>45657</v>
      </c>
      <c r="M178" s="9">
        <f t="shared" si="2"/>
        <v>98.98458963</v>
      </c>
      <c r="N178" s="6">
        <f>(C178-Context!$C$19)/365.25</f>
        <v>3.849418207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 t="s">
        <v>15</v>
      </c>
      <c r="B179" s="7" t="s">
        <v>162</v>
      </c>
      <c r="C179" s="8" t="s">
        <v>245</v>
      </c>
      <c r="D179" s="6">
        <v>90.0703125</v>
      </c>
      <c r="E179" s="6">
        <v>90.125</v>
      </c>
      <c r="F179" s="6">
        <v>1.375</v>
      </c>
      <c r="G179" s="6" t="s">
        <v>18</v>
      </c>
      <c r="H179" s="9">
        <f t="shared" si="1"/>
        <v>90.09765625</v>
      </c>
      <c r="I179" s="6">
        <f>DAYS(C179,Context!$C$19)</f>
        <v>1406</v>
      </c>
      <c r="J179" s="10">
        <f>ACCRINT(L179,K179,Context!$C$19,F179/100,100,2,1)</f>
        <v>0.207760989</v>
      </c>
      <c r="K179" s="11">
        <f>COUPNCD(Context!$C$19,C179,2,1)</f>
        <v>45838</v>
      </c>
      <c r="L179" s="11">
        <f>COUPPCD(Context!$C$19,C179,2,1)</f>
        <v>45657</v>
      </c>
      <c r="M179" s="9">
        <f t="shared" si="2"/>
        <v>90.30541724</v>
      </c>
      <c r="N179" s="6">
        <f>(C179-Context!$C$19)/365.25</f>
        <v>3.849418207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 t="s">
        <v>15</v>
      </c>
      <c r="B180" s="7" t="s">
        <v>246</v>
      </c>
      <c r="C180" s="8" t="s">
        <v>247</v>
      </c>
      <c r="D180" s="6">
        <v>91.1875</v>
      </c>
      <c r="E180" s="6">
        <v>91.234375</v>
      </c>
      <c r="F180" s="6">
        <v>1.75</v>
      </c>
      <c r="G180" s="6" t="s">
        <v>18</v>
      </c>
      <c r="H180" s="9">
        <f t="shared" si="1"/>
        <v>91.2109375</v>
      </c>
      <c r="I180" s="6">
        <f>DAYS(C180,Context!$C$19)</f>
        <v>1437</v>
      </c>
      <c r="J180" s="10">
        <f>ACCRINT(L180,K180,Context!$C$19,F180/100,100,2,1)</f>
        <v>0.1160220994</v>
      </c>
      <c r="K180" s="11">
        <f>COUPNCD(Context!$C$19,C180,2,1)</f>
        <v>45869</v>
      </c>
      <c r="L180" s="11">
        <f>COUPPCD(Context!$C$19,C180,2,1)</f>
        <v>45688</v>
      </c>
      <c r="M180" s="9">
        <f t="shared" si="2"/>
        <v>91.3269596</v>
      </c>
      <c r="N180" s="6">
        <f>(C180-Context!$C$19)/365.25</f>
        <v>3.934291581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 t="s">
        <v>15</v>
      </c>
      <c r="B181" s="7" t="s">
        <v>89</v>
      </c>
      <c r="C181" s="8" t="s">
        <v>247</v>
      </c>
      <c r="D181" s="6">
        <v>99.265625</v>
      </c>
      <c r="E181" s="6">
        <v>99.296875</v>
      </c>
      <c r="F181" s="6">
        <v>4.0</v>
      </c>
      <c r="G181" s="6" t="s">
        <v>18</v>
      </c>
      <c r="H181" s="9">
        <f t="shared" si="1"/>
        <v>99.28125</v>
      </c>
      <c r="I181" s="6">
        <f>DAYS(C181,Context!$C$19)</f>
        <v>1437</v>
      </c>
      <c r="J181" s="10">
        <f>ACCRINT(L181,K181,Context!$C$19,F181/100,100,2,1)</f>
        <v>0.2651933702</v>
      </c>
      <c r="K181" s="11">
        <f>COUPNCD(Context!$C$19,C181,2,1)</f>
        <v>45869</v>
      </c>
      <c r="L181" s="11">
        <f>COUPPCD(Context!$C$19,C181,2,1)</f>
        <v>45688</v>
      </c>
      <c r="M181" s="9">
        <f t="shared" si="2"/>
        <v>99.54644337</v>
      </c>
      <c r="N181" s="6">
        <f>(C181-Context!$C$19)/365.25</f>
        <v>3.934291581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 t="s">
        <v>15</v>
      </c>
      <c r="B182" s="7" t="s">
        <v>248</v>
      </c>
      <c r="C182" s="8" t="s">
        <v>249</v>
      </c>
      <c r="D182" s="6">
        <v>94.265625</v>
      </c>
      <c r="E182" s="6">
        <v>94.3046875</v>
      </c>
      <c r="F182" s="6">
        <v>2.625</v>
      </c>
      <c r="G182" s="6" t="s">
        <v>18</v>
      </c>
      <c r="H182" s="9">
        <f t="shared" si="1"/>
        <v>94.28515625</v>
      </c>
      <c r="I182" s="6">
        <f>DAYS(C182,Context!$C$19)</f>
        <v>1452</v>
      </c>
      <c r="J182" s="10">
        <f>ACCRINT(L182,K182,Context!$C$19,F182/100,100,2,1)</f>
        <v>0.06526243094</v>
      </c>
      <c r="K182" s="11">
        <f>COUPNCD(Context!$C$19,C182,2,1)</f>
        <v>45884</v>
      </c>
      <c r="L182" s="11">
        <f>COUPPCD(Context!$C$19,C182,2,1)</f>
        <v>45703</v>
      </c>
      <c r="M182" s="9">
        <f t="shared" si="2"/>
        <v>94.35041868</v>
      </c>
      <c r="N182" s="6">
        <f>(C182-Context!$C$19)/365.25</f>
        <v>3.975359343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 t="s">
        <v>15</v>
      </c>
      <c r="B183" s="7" t="s">
        <v>250</v>
      </c>
      <c r="C183" s="8" t="s">
        <v>249</v>
      </c>
      <c r="D183" s="6">
        <v>104.0078125</v>
      </c>
      <c r="E183" s="6">
        <v>104.3515625</v>
      </c>
      <c r="F183" s="6">
        <v>5.25</v>
      </c>
      <c r="G183" s="6" t="s">
        <v>18</v>
      </c>
      <c r="H183" s="9">
        <f t="shared" si="1"/>
        <v>104.1796875</v>
      </c>
      <c r="I183" s="6">
        <f>DAYS(C183,Context!$C$19)</f>
        <v>1452</v>
      </c>
      <c r="J183" s="10">
        <f>ACCRINT(L183,K183,Context!$C$19,F183/100,100,2,1)</f>
        <v>0.1305248619</v>
      </c>
      <c r="K183" s="11">
        <f>COUPNCD(Context!$C$19,C183,2,1)</f>
        <v>45884</v>
      </c>
      <c r="L183" s="11">
        <f>COUPPCD(Context!$C$19,C183,2,1)</f>
        <v>45703</v>
      </c>
      <c r="M183" s="9">
        <f t="shared" si="2"/>
        <v>104.3102124</v>
      </c>
      <c r="N183" s="6">
        <f>(C183-Context!$C$19)/365.25</f>
        <v>3.975359343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 t="s">
        <v>15</v>
      </c>
      <c r="B184" s="7" t="s">
        <v>173</v>
      </c>
      <c r="C184" s="8" t="s">
        <v>251</v>
      </c>
      <c r="D184" s="6">
        <v>91.4765625</v>
      </c>
      <c r="E184" s="6">
        <v>91.5078125</v>
      </c>
      <c r="F184" s="6">
        <v>1.875</v>
      </c>
      <c r="G184" s="6" t="s">
        <v>18</v>
      </c>
      <c r="H184" s="9">
        <f t="shared" si="1"/>
        <v>91.4921875</v>
      </c>
      <c r="I184" s="6">
        <f>DAYS(C184,Context!$C$19)</f>
        <v>1465</v>
      </c>
      <c r="J184" s="10">
        <f>ACCRINT(L184,K184,Context!$C$19,F184/100,100,2,1)</f>
        <v>0.9171195652</v>
      </c>
      <c r="K184" s="11">
        <f>COUPNCD(Context!$C$19,C184,2,1)</f>
        <v>45716</v>
      </c>
      <c r="L184" s="11">
        <f>COUPPCD(Context!$C$19,C184,2,1)</f>
        <v>45532</v>
      </c>
      <c r="M184" s="9">
        <f t="shared" si="2"/>
        <v>92.40930707</v>
      </c>
      <c r="N184" s="6">
        <f>(C184-Context!$C$19)/365.25</f>
        <v>4.010951403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 t="s">
        <v>15</v>
      </c>
      <c r="B185" s="7" t="s">
        <v>97</v>
      </c>
      <c r="C185" s="8" t="s">
        <v>251</v>
      </c>
      <c r="D185" s="6">
        <v>100.15625</v>
      </c>
      <c r="E185" s="6">
        <v>100.1875</v>
      </c>
      <c r="F185" s="6">
        <v>4.25</v>
      </c>
      <c r="G185" s="6" t="s">
        <v>18</v>
      </c>
      <c r="H185" s="9">
        <f t="shared" si="1"/>
        <v>100.171875</v>
      </c>
      <c r="I185" s="6">
        <f>DAYS(C185,Context!$C$19)</f>
        <v>1465</v>
      </c>
      <c r="J185" s="10">
        <f>ACCRINT(L185,K185,Context!$C$19,F185/100,100,2,1)</f>
        <v>2.078804348</v>
      </c>
      <c r="K185" s="11">
        <f>COUPNCD(Context!$C$19,C185,2,1)</f>
        <v>45716</v>
      </c>
      <c r="L185" s="11">
        <f>COUPPCD(Context!$C$19,C185,2,1)</f>
        <v>45532</v>
      </c>
      <c r="M185" s="9">
        <f t="shared" si="2"/>
        <v>102.2506793</v>
      </c>
      <c r="N185" s="6">
        <f>(C185-Context!$C$19)/365.25</f>
        <v>4.010951403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 t="s">
        <v>15</v>
      </c>
      <c r="B186" s="7" t="s">
        <v>178</v>
      </c>
      <c r="C186" s="8" t="s">
        <v>252</v>
      </c>
      <c r="D186" s="6">
        <v>93.1484375</v>
      </c>
      <c r="E186" s="6">
        <v>93.1796875</v>
      </c>
      <c r="F186" s="6">
        <v>2.375</v>
      </c>
      <c r="G186" s="6" t="s">
        <v>18</v>
      </c>
      <c r="H186" s="9">
        <f t="shared" si="1"/>
        <v>93.1640625</v>
      </c>
      <c r="I186" s="6">
        <f>DAYS(C186,Context!$C$19)</f>
        <v>1496</v>
      </c>
      <c r="J186" s="10">
        <f>ACCRINT(L186,K186,Context!$C$19,F186/100,100,2,1)</f>
        <v>0.9591346154</v>
      </c>
      <c r="K186" s="11">
        <f>COUPNCD(Context!$C$19,C186,2,1)</f>
        <v>45747</v>
      </c>
      <c r="L186" s="11">
        <f>COUPPCD(Context!$C$19,C186,2,1)</f>
        <v>45565</v>
      </c>
      <c r="M186" s="9">
        <f t="shared" si="2"/>
        <v>94.12319712</v>
      </c>
      <c r="N186" s="6">
        <f>(C186-Context!$C$19)/365.25</f>
        <v>4.095824778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 t="s">
        <v>15</v>
      </c>
      <c r="B187" s="7" t="s">
        <v>104</v>
      </c>
      <c r="C187" s="8" t="s">
        <v>252</v>
      </c>
      <c r="D187" s="6">
        <v>99.671875</v>
      </c>
      <c r="E187" s="6">
        <v>99.7109375</v>
      </c>
      <c r="F187" s="6">
        <v>4.125</v>
      </c>
      <c r="G187" s="6" t="s">
        <v>18</v>
      </c>
      <c r="H187" s="9">
        <f t="shared" si="1"/>
        <v>99.69140625</v>
      </c>
      <c r="I187" s="6">
        <f>DAYS(C187,Context!$C$19)</f>
        <v>1496</v>
      </c>
      <c r="J187" s="10">
        <f>ACCRINT(L187,K187,Context!$C$19,F187/100,100,2,1)</f>
        <v>1.665865385</v>
      </c>
      <c r="K187" s="11">
        <f>COUPNCD(Context!$C$19,C187,2,1)</f>
        <v>45747</v>
      </c>
      <c r="L187" s="11">
        <f>COUPPCD(Context!$C$19,C187,2,1)</f>
        <v>45565</v>
      </c>
      <c r="M187" s="9">
        <f t="shared" si="2"/>
        <v>101.3572716</v>
      </c>
      <c r="N187" s="6">
        <f>(C187-Context!$C$19)/365.25</f>
        <v>4.095824778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 t="s">
        <v>15</v>
      </c>
      <c r="B188" s="7" t="s">
        <v>110</v>
      </c>
      <c r="C188" s="8" t="s">
        <v>253</v>
      </c>
      <c r="D188" s="6">
        <v>101.5703125</v>
      </c>
      <c r="E188" s="6">
        <v>101.6015625</v>
      </c>
      <c r="F188" s="6">
        <v>4.625</v>
      </c>
      <c r="G188" s="6" t="s">
        <v>18</v>
      </c>
      <c r="H188" s="9">
        <f t="shared" si="1"/>
        <v>101.5859375</v>
      </c>
      <c r="I188" s="6">
        <f>DAYS(C188,Context!$C$19)</f>
        <v>1526</v>
      </c>
      <c r="J188" s="10">
        <f>ACCRINT(L188,K188,Context!$C$19,F188/100,100,2,1)</f>
        <v>1.486607143</v>
      </c>
      <c r="K188" s="11">
        <f>COUPNCD(Context!$C$19,C188,2,1)</f>
        <v>45777</v>
      </c>
      <c r="L188" s="11">
        <f>COUPPCD(Context!$C$19,C188,2,1)</f>
        <v>45595</v>
      </c>
      <c r="M188" s="9">
        <f t="shared" si="2"/>
        <v>103.0725446</v>
      </c>
      <c r="N188" s="6">
        <f>(C188-Context!$C$19)/365.25</f>
        <v>4.177960301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 t="s">
        <v>15</v>
      </c>
      <c r="B189" s="7" t="s">
        <v>182</v>
      </c>
      <c r="C189" s="8" t="s">
        <v>253</v>
      </c>
      <c r="D189" s="6">
        <v>94.921875</v>
      </c>
      <c r="E189" s="6">
        <v>94.96875</v>
      </c>
      <c r="F189" s="6">
        <v>2.875</v>
      </c>
      <c r="G189" s="6" t="s">
        <v>18</v>
      </c>
      <c r="H189" s="9">
        <f t="shared" si="1"/>
        <v>94.9453125</v>
      </c>
      <c r="I189" s="6">
        <f>DAYS(C189,Context!$C$19)</f>
        <v>1526</v>
      </c>
      <c r="J189" s="10">
        <f>ACCRINT(L189,K189,Context!$C$19,F189/100,100,2,1)</f>
        <v>0.9241071429</v>
      </c>
      <c r="K189" s="11">
        <f>COUPNCD(Context!$C$19,C189,2,1)</f>
        <v>45777</v>
      </c>
      <c r="L189" s="11">
        <f>COUPPCD(Context!$C$19,C189,2,1)</f>
        <v>45595</v>
      </c>
      <c r="M189" s="9">
        <f t="shared" si="2"/>
        <v>95.86941964</v>
      </c>
      <c r="N189" s="6">
        <f>(C189-Context!$C$19)/365.25</f>
        <v>4.177960301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 t="s">
        <v>15</v>
      </c>
      <c r="B190" s="7" t="s">
        <v>254</v>
      </c>
      <c r="C190" s="8" t="s">
        <v>255</v>
      </c>
      <c r="D190" s="6">
        <v>92.9921875</v>
      </c>
      <c r="E190" s="6">
        <v>93.015625</v>
      </c>
      <c r="F190" s="6">
        <v>2.375</v>
      </c>
      <c r="G190" s="6" t="s">
        <v>18</v>
      </c>
      <c r="H190" s="9">
        <f t="shared" si="1"/>
        <v>93.00390625</v>
      </c>
      <c r="I190" s="6">
        <f>DAYS(C190,Context!$C$19)</f>
        <v>1541</v>
      </c>
      <c r="J190" s="10">
        <f>ACCRINT(L190,K190,Context!$C$19,F190/100,100,2,1)</f>
        <v>0.6626381215</v>
      </c>
      <c r="K190" s="11">
        <f>COUPNCD(Context!$C$19,C190,2,1)</f>
        <v>45792</v>
      </c>
      <c r="L190" s="11">
        <f>COUPPCD(Context!$C$19,C190,2,1)</f>
        <v>45611</v>
      </c>
      <c r="M190" s="9">
        <f t="shared" si="2"/>
        <v>93.66654437</v>
      </c>
      <c r="N190" s="6">
        <f>(C190-Context!$C$19)/365.25</f>
        <v>4.219028063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 t="s">
        <v>15</v>
      </c>
      <c r="B191" s="7" t="s">
        <v>186</v>
      </c>
      <c r="C191" s="8" t="s">
        <v>256</v>
      </c>
      <c r="D191" s="6">
        <v>94.3203125</v>
      </c>
      <c r="E191" s="6">
        <v>94.3671875</v>
      </c>
      <c r="F191" s="6">
        <v>2.75</v>
      </c>
      <c r="G191" s="6" t="s">
        <v>18</v>
      </c>
      <c r="H191" s="9">
        <f t="shared" si="1"/>
        <v>94.34375</v>
      </c>
      <c r="I191" s="6">
        <f>DAYS(C191,Context!$C$19)</f>
        <v>1557</v>
      </c>
      <c r="J191" s="10">
        <f>ACCRINT(L191,K191,Context!$C$19,F191/100,100,2,1)</f>
        <v>0.6497252747</v>
      </c>
      <c r="K191" s="11">
        <f>COUPNCD(Context!$C$19,C191,2,1)</f>
        <v>45808</v>
      </c>
      <c r="L191" s="11">
        <f>COUPPCD(Context!$C$19,C191,2,1)</f>
        <v>45626</v>
      </c>
      <c r="M191" s="9">
        <f t="shared" si="2"/>
        <v>94.99347527</v>
      </c>
      <c r="N191" s="6">
        <f>(C191-Context!$C$19)/365.25</f>
        <v>4.262833676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 t="s">
        <v>15</v>
      </c>
      <c r="B192" s="7" t="s">
        <v>116</v>
      </c>
      <c r="C192" s="8" t="s">
        <v>256</v>
      </c>
      <c r="D192" s="6">
        <v>101.1171875</v>
      </c>
      <c r="E192" s="6">
        <v>101.140625</v>
      </c>
      <c r="F192" s="6">
        <v>4.5</v>
      </c>
      <c r="G192" s="6" t="s">
        <v>18</v>
      </c>
      <c r="H192" s="9">
        <f t="shared" si="1"/>
        <v>101.1289063</v>
      </c>
      <c r="I192" s="6">
        <f>DAYS(C192,Context!$C$19)</f>
        <v>1557</v>
      </c>
      <c r="J192" s="10">
        <f>ACCRINT(L192,K192,Context!$C$19,F192/100,100,2,1)</f>
        <v>1.063186813</v>
      </c>
      <c r="K192" s="11">
        <f>COUPNCD(Context!$C$19,C192,2,1)</f>
        <v>45808</v>
      </c>
      <c r="L192" s="11">
        <f>COUPPCD(Context!$C$19,C192,2,1)</f>
        <v>45626</v>
      </c>
      <c r="M192" s="9">
        <f t="shared" si="2"/>
        <v>102.1920931</v>
      </c>
      <c r="N192" s="6">
        <f>(C192-Context!$C$19)/365.25</f>
        <v>4.262833676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 t="s">
        <v>15</v>
      </c>
      <c r="B193" s="7" t="s">
        <v>191</v>
      </c>
      <c r="C193" s="8" t="s">
        <v>257</v>
      </c>
      <c r="D193" s="6">
        <v>96.1875</v>
      </c>
      <c r="E193" s="6">
        <v>96.21875</v>
      </c>
      <c r="F193" s="6">
        <v>3.25</v>
      </c>
      <c r="G193" s="6" t="s">
        <v>18</v>
      </c>
      <c r="H193" s="9">
        <f t="shared" si="1"/>
        <v>96.203125</v>
      </c>
      <c r="I193" s="6">
        <f>DAYS(C193,Context!$C$19)</f>
        <v>1587</v>
      </c>
      <c r="J193" s="10">
        <f>ACCRINT(L193,K193,Context!$C$19,F193/100,100,2,1)</f>
        <v>0.5</v>
      </c>
      <c r="K193" s="11">
        <f>COUPNCD(Context!$C$19,C193,2,1)</f>
        <v>45838</v>
      </c>
      <c r="L193" s="11">
        <f>COUPPCD(Context!$C$19,C193,2,1)</f>
        <v>45656</v>
      </c>
      <c r="M193" s="9">
        <f t="shared" si="2"/>
        <v>96.703125</v>
      </c>
      <c r="N193" s="6">
        <f>(C193-Context!$C$19)/365.25</f>
        <v>4.344969199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 t="s">
        <v>15</v>
      </c>
      <c r="B194" s="7" t="s">
        <v>123</v>
      </c>
      <c r="C194" s="8" t="s">
        <v>257</v>
      </c>
      <c r="D194" s="6">
        <v>100.1328125</v>
      </c>
      <c r="E194" s="6">
        <v>100.15625</v>
      </c>
      <c r="F194" s="6">
        <v>4.25</v>
      </c>
      <c r="G194" s="6" t="s">
        <v>18</v>
      </c>
      <c r="H194" s="9">
        <f t="shared" si="1"/>
        <v>100.1445313</v>
      </c>
      <c r="I194" s="6">
        <f>DAYS(C194,Context!$C$19)</f>
        <v>1587</v>
      </c>
      <c r="J194" s="10">
        <f>ACCRINT(L194,K194,Context!$C$19,F194/100,100,2,1)</f>
        <v>0.6538461538</v>
      </c>
      <c r="K194" s="11">
        <f>COUPNCD(Context!$C$19,C194,2,1)</f>
        <v>45838</v>
      </c>
      <c r="L194" s="11">
        <f>COUPPCD(Context!$C$19,C194,2,1)</f>
        <v>45656</v>
      </c>
      <c r="M194" s="9">
        <f t="shared" si="2"/>
        <v>100.7983774</v>
      </c>
      <c r="N194" s="6">
        <f>(C194-Context!$C$19)/365.25</f>
        <v>4.344969199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 t="s">
        <v>15</v>
      </c>
      <c r="B195" s="7" t="s">
        <v>128</v>
      </c>
      <c r="C195" s="8" t="s">
        <v>258</v>
      </c>
      <c r="D195" s="6">
        <v>99.1484375</v>
      </c>
      <c r="E195" s="6">
        <v>99.1796875</v>
      </c>
      <c r="F195" s="6">
        <v>4.0</v>
      </c>
      <c r="G195" s="6" t="s">
        <v>18</v>
      </c>
      <c r="H195" s="9">
        <f t="shared" si="1"/>
        <v>99.1640625</v>
      </c>
      <c r="I195" s="6">
        <f>DAYS(C195,Context!$C$19)</f>
        <v>1618</v>
      </c>
      <c r="J195" s="10">
        <f>ACCRINT(L195,K195,Context!$C$19,F195/100,100,2,1)</f>
        <v>0.2651933702</v>
      </c>
      <c r="K195" s="11">
        <f>COUPNCD(Context!$C$19,C195,2,1)</f>
        <v>45869</v>
      </c>
      <c r="L195" s="11">
        <f>COUPPCD(Context!$C$19,C195,2,1)</f>
        <v>45688</v>
      </c>
      <c r="M195" s="9">
        <f t="shared" si="2"/>
        <v>99.42925587</v>
      </c>
      <c r="N195" s="6">
        <f>(C195-Context!$C$19)/365.25</f>
        <v>4.429842574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 t="s">
        <v>15</v>
      </c>
      <c r="B196" s="7" t="s">
        <v>195</v>
      </c>
      <c r="C196" s="8" t="s">
        <v>258</v>
      </c>
      <c r="D196" s="6">
        <v>93.625</v>
      </c>
      <c r="E196" s="6">
        <v>93.65625</v>
      </c>
      <c r="F196" s="6">
        <v>2.625</v>
      </c>
      <c r="G196" s="6" t="s">
        <v>18</v>
      </c>
      <c r="H196" s="9">
        <f t="shared" si="1"/>
        <v>93.640625</v>
      </c>
      <c r="I196" s="6">
        <f>DAYS(C196,Context!$C$19)</f>
        <v>1618</v>
      </c>
      <c r="J196" s="10">
        <f>ACCRINT(L196,K196,Context!$C$19,F196/100,100,2,1)</f>
        <v>0.1740331492</v>
      </c>
      <c r="K196" s="11">
        <f>COUPNCD(Context!$C$19,C196,2,1)</f>
        <v>45869</v>
      </c>
      <c r="L196" s="11">
        <f>COUPPCD(Context!$C$19,C196,2,1)</f>
        <v>45688</v>
      </c>
      <c r="M196" s="9">
        <f t="shared" si="2"/>
        <v>93.81465815</v>
      </c>
      <c r="N196" s="6">
        <f>(C196-Context!$C$19)/365.25</f>
        <v>4.429842574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 t="s">
        <v>15</v>
      </c>
      <c r="B197" s="7" t="s">
        <v>259</v>
      </c>
      <c r="C197" s="8" t="s">
        <v>260</v>
      </c>
      <c r="D197" s="6">
        <v>89.6640625</v>
      </c>
      <c r="E197" s="6">
        <v>89.6953125</v>
      </c>
      <c r="F197" s="6">
        <v>1.625</v>
      </c>
      <c r="G197" s="6" t="s">
        <v>18</v>
      </c>
      <c r="H197" s="9">
        <f t="shared" si="1"/>
        <v>89.6796875</v>
      </c>
      <c r="I197" s="6">
        <f>DAYS(C197,Context!$C$19)</f>
        <v>1633</v>
      </c>
      <c r="J197" s="10">
        <f>ACCRINT(L197,K197,Context!$C$19,F197/100,100,2,1)</f>
        <v>0.04040055249</v>
      </c>
      <c r="K197" s="11">
        <f>COUPNCD(Context!$C$19,C197,2,1)</f>
        <v>45884</v>
      </c>
      <c r="L197" s="11">
        <f>COUPPCD(Context!$C$19,C197,2,1)</f>
        <v>45703</v>
      </c>
      <c r="M197" s="9">
        <f t="shared" si="2"/>
        <v>89.72008805</v>
      </c>
      <c r="N197" s="6">
        <f>(C197-Context!$C$19)/365.25</f>
        <v>4.470910335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 t="s">
        <v>15</v>
      </c>
      <c r="B198" s="7" t="s">
        <v>261</v>
      </c>
      <c r="C198" s="8" t="s">
        <v>260</v>
      </c>
      <c r="D198" s="6">
        <v>107.609375</v>
      </c>
      <c r="E198" s="6">
        <v>107.96875</v>
      </c>
      <c r="F198" s="6">
        <v>6.125</v>
      </c>
      <c r="G198" s="6" t="s">
        <v>18</v>
      </c>
      <c r="H198" s="9">
        <f t="shared" si="1"/>
        <v>107.7890625</v>
      </c>
      <c r="I198" s="6">
        <f>DAYS(C198,Context!$C$19)</f>
        <v>1633</v>
      </c>
      <c r="J198" s="10">
        <f>ACCRINT(L198,K198,Context!$C$19,F198/100,100,2,1)</f>
        <v>0.1522790055</v>
      </c>
      <c r="K198" s="11">
        <f>COUPNCD(Context!$C$19,C198,2,1)</f>
        <v>45884</v>
      </c>
      <c r="L198" s="11">
        <f>COUPPCD(Context!$C$19,C198,2,1)</f>
        <v>45703</v>
      </c>
      <c r="M198" s="9">
        <f t="shared" si="2"/>
        <v>107.9413415</v>
      </c>
      <c r="N198" s="6">
        <f>(C198-Context!$C$19)/365.25</f>
        <v>4.470910335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 t="s">
        <v>15</v>
      </c>
      <c r="B199" s="7" t="s">
        <v>201</v>
      </c>
      <c r="C199" s="8" t="s">
        <v>262</v>
      </c>
      <c r="D199" s="6">
        <v>95.53125</v>
      </c>
      <c r="E199" s="6">
        <v>95.5625</v>
      </c>
      <c r="F199" s="6">
        <v>3.125</v>
      </c>
      <c r="G199" s="6" t="s">
        <v>18</v>
      </c>
      <c r="H199" s="9">
        <f t="shared" si="1"/>
        <v>95.546875</v>
      </c>
      <c r="I199" s="6">
        <f>DAYS(C199,Context!$C$19)</f>
        <v>1649</v>
      </c>
      <c r="J199" s="10">
        <f>ACCRINT(L199,K199,Context!$C$19,F199/100,100,2,1)</f>
        <v>1.503057065</v>
      </c>
      <c r="K199" s="11">
        <f>COUPNCD(Context!$C$19,C199,2,1)</f>
        <v>45716</v>
      </c>
      <c r="L199" s="11">
        <f>COUPPCD(Context!$C$19,C199,2,1)</f>
        <v>45535</v>
      </c>
      <c r="M199" s="9">
        <f t="shared" si="2"/>
        <v>97.04993207</v>
      </c>
      <c r="N199" s="6">
        <f>(C199-Context!$C$19)/365.25</f>
        <v>4.514715948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 t="s">
        <v>15</v>
      </c>
      <c r="B200" s="7" t="s">
        <v>137</v>
      </c>
      <c r="C200" s="8" t="s">
        <v>262</v>
      </c>
      <c r="D200" s="6">
        <v>97.609375</v>
      </c>
      <c r="E200" s="6">
        <v>97.640625</v>
      </c>
      <c r="F200" s="6">
        <v>3.625</v>
      </c>
      <c r="G200" s="6" t="s">
        <v>18</v>
      </c>
      <c r="H200" s="9">
        <f t="shared" si="1"/>
        <v>97.625</v>
      </c>
      <c r="I200" s="6">
        <f>DAYS(C200,Context!$C$19)</f>
        <v>1649</v>
      </c>
      <c r="J200" s="10">
        <f>ACCRINT(L200,K200,Context!$C$19,F200/100,100,2,1)</f>
        <v>1.743546196</v>
      </c>
      <c r="K200" s="11">
        <f>COUPNCD(Context!$C$19,C200,2,1)</f>
        <v>45716</v>
      </c>
      <c r="L200" s="11">
        <f>COUPPCD(Context!$C$19,C200,2,1)</f>
        <v>45535</v>
      </c>
      <c r="M200" s="9">
        <f t="shared" si="2"/>
        <v>99.3685462</v>
      </c>
      <c r="N200" s="6">
        <f>(C200-Context!$C$19)/365.25</f>
        <v>4.514715948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 t="s">
        <v>15</v>
      </c>
      <c r="B201" s="7" t="s">
        <v>205</v>
      </c>
      <c r="C201" s="8" t="s">
        <v>263</v>
      </c>
      <c r="D201" s="6">
        <v>98.5546875</v>
      </c>
      <c r="E201" s="6">
        <v>98.5859375</v>
      </c>
      <c r="F201" s="6">
        <v>3.875</v>
      </c>
      <c r="G201" s="6" t="s">
        <v>18</v>
      </c>
      <c r="H201" s="9">
        <f t="shared" si="1"/>
        <v>98.5703125</v>
      </c>
      <c r="I201" s="6">
        <f>DAYS(C201,Context!$C$19)</f>
        <v>1679</v>
      </c>
      <c r="J201" s="10">
        <f>ACCRINT(L201,K201,Context!$C$19,F201/100,100,2,1)</f>
        <v>1.573549724</v>
      </c>
      <c r="K201" s="11">
        <f>COUPNCD(Context!$C$19,C201,2,1)</f>
        <v>45746</v>
      </c>
      <c r="L201" s="11">
        <f>COUPPCD(Context!$C$19,C201,2,1)</f>
        <v>45565</v>
      </c>
      <c r="M201" s="9">
        <f t="shared" si="2"/>
        <v>100.1438622</v>
      </c>
      <c r="N201" s="6">
        <f>(C201-Context!$C$19)/365.25</f>
        <v>4.596851472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 t="s">
        <v>15</v>
      </c>
      <c r="B202" s="7" t="s">
        <v>143</v>
      </c>
      <c r="C202" s="8" t="s">
        <v>263</v>
      </c>
      <c r="D202" s="6">
        <v>97.0234375</v>
      </c>
      <c r="E202" s="6">
        <v>97.046875</v>
      </c>
      <c r="F202" s="6">
        <v>3.5</v>
      </c>
      <c r="G202" s="6" t="s">
        <v>18</v>
      </c>
      <c r="H202" s="9">
        <f t="shared" si="1"/>
        <v>97.03515625</v>
      </c>
      <c r="I202" s="6">
        <f>DAYS(C202,Context!$C$19)</f>
        <v>1679</v>
      </c>
      <c r="J202" s="10">
        <f>ACCRINT(L202,K202,Context!$C$19,F202/100,100,2,1)</f>
        <v>1.421270718</v>
      </c>
      <c r="K202" s="11">
        <f>COUPNCD(Context!$C$19,C202,2,1)</f>
        <v>45746</v>
      </c>
      <c r="L202" s="11">
        <f>COUPPCD(Context!$C$19,C202,2,1)</f>
        <v>45565</v>
      </c>
      <c r="M202" s="9">
        <f t="shared" si="2"/>
        <v>98.45642697</v>
      </c>
      <c r="N202" s="6">
        <f>(C202-Context!$C$19)/365.25</f>
        <v>4.596851472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 t="s">
        <v>15</v>
      </c>
      <c r="B203" s="7" t="s">
        <v>208</v>
      </c>
      <c r="C203" s="8" t="s">
        <v>264</v>
      </c>
      <c r="D203" s="6">
        <v>99.03125</v>
      </c>
      <c r="E203" s="6">
        <v>99.0703125</v>
      </c>
      <c r="F203" s="6">
        <v>4.0</v>
      </c>
      <c r="G203" s="6" t="s">
        <v>18</v>
      </c>
      <c r="H203" s="9">
        <f t="shared" si="1"/>
        <v>99.05078125</v>
      </c>
      <c r="I203" s="6">
        <f>DAYS(C203,Context!$C$19)</f>
        <v>1710</v>
      </c>
      <c r="J203" s="10">
        <f>ACCRINT(L203,K203,Context!$C$19,F203/100,100,2,1)</f>
        <v>1.274725275</v>
      </c>
      <c r="K203" s="11">
        <f>COUPNCD(Context!$C$19,C203,2,1)</f>
        <v>45777</v>
      </c>
      <c r="L203" s="11">
        <f>COUPPCD(Context!$C$19,C203,2,1)</f>
        <v>45596</v>
      </c>
      <c r="M203" s="9">
        <f t="shared" si="2"/>
        <v>100.3255065</v>
      </c>
      <c r="N203" s="6">
        <f>(C203-Context!$C$19)/365.25</f>
        <v>4.681724846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 t="s">
        <v>15</v>
      </c>
      <c r="B204" s="7" t="s">
        <v>148</v>
      </c>
      <c r="C204" s="8" t="s">
        <v>264</v>
      </c>
      <c r="D204" s="6">
        <v>99.6015625</v>
      </c>
      <c r="E204" s="6">
        <v>99.625</v>
      </c>
      <c r="F204" s="6">
        <v>4.125</v>
      </c>
      <c r="G204" s="6" t="s">
        <v>18</v>
      </c>
      <c r="H204" s="9">
        <f t="shared" si="1"/>
        <v>99.61328125</v>
      </c>
      <c r="I204" s="6">
        <f>DAYS(C204,Context!$C$19)</f>
        <v>1710</v>
      </c>
      <c r="J204" s="10">
        <f>ACCRINT(L204,K204,Context!$C$19,F204/100,100,2,1)</f>
        <v>1.31456044</v>
      </c>
      <c r="K204" s="11">
        <f>COUPNCD(Context!$C$19,C204,2,1)</f>
        <v>45777</v>
      </c>
      <c r="L204" s="11">
        <f>COUPPCD(Context!$C$19,C204,2,1)</f>
        <v>45596</v>
      </c>
      <c r="M204" s="9">
        <f t="shared" si="2"/>
        <v>100.9278417</v>
      </c>
      <c r="N204" s="6">
        <f>(C204-Context!$C$19)/365.25</f>
        <v>4.681724846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 t="s">
        <v>15</v>
      </c>
      <c r="B205" s="7" t="s">
        <v>265</v>
      </c>
      <c r="C205" s="8" t="s">
        <v>266</v>
      </c>
      <c r="D205" s="6">
        <v>89.625</v>
      </c>
      <c r="E205" s="6">
        <v>89.6953125</v>
      </c>
      <c r="F205" s="6">
        <v>1.75</v>
      </c>
      <c r="G205" s="6" t="s">
        <v>18</v>
      </c>
      <c r="H205" s="9">
        <f t="shared" si="1"/>
        <v>89.66015625</v>
      </c>
      <c r="I205" s="6">
        <f>DAYS(C205,Context!$C$19)</f>
        <v>1725</v>
      </c>
      <c r="J205" s="10">
        <f>ACCRINT(L205,K205,Context!$C$19,F205/100,100,2,1)</f>
        <v>0.4882596685</v>
      </c>
      <c r="K205" s="11">
        <f>COUPNCD(Context!$C$19,C205,2,1)</f>
        <v>45792</v>
      </c>
      <c r="L205" s="11">
        <f>COUPPCD(Context!$C$19,C205,2,1)</f>
        <v>45611</v>
      </c>
      <c r="M205" s="9">
        <f t="shared" si="2"/>
        <v>90.14841592</v>
      </c>
      <c r="N205" s="6">
        <f>(C205-Context!$C$19)/365.25</f>
        <v>4.722792608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 t="s">
        <v>15</v>
      </c>
      <c r="B206" s="7" t="s">
        <v>215</v>
      </c>
      <c r="C206" s="8" t="s">
        <v>267</v>
      </c>
      <c r="D206" s="6">
        <v>98.46875</v>
      </c>
      <c r="E206" s="6">
        <v>98.5078125</v>
      </c>
      <c r="F206" s="6">
        <v>3.875</v>
      </c>
      <c r="G206" s="6" t="s">
        <v>18</v>
      </c>
      <c r="H206" s="9">
        <f t="shared" si="1"/>
        <v>98.48828125</v>
      </c>
      <c r="I206" s="6">
        <f>DAYS(C206,Context!$C$19)</f>
        <v>1740</v>
      </c>
      <c r="J206" s="10">
        <f>ACCRINT(L206,K206,Context!$C$19,F206/100,100,2,1)</f>
        <v>0.9205801105</v>
      </c>
      <c r="K206" s="11">
        <f>COUPNCD(Context!$C$19,C206,2,1)</f>
        <v>45807</v>
      </c>
      <c r="L206" s="11">
        <f>COUPPCD(Context!$C$19,C206,2,1)</f>
        <v>45626</v>
      </c>
      <c r="M206" s="9">
        <f t="shared" si="2"/>
        <v>99.40886136</v>
      </c>
      <c r="N206" s="6">
        <f>(C206-Context!$C$19)/365.25</f>
        <v>4.76386037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 t="s">
        <v>15</v>
      </c>
      <c r="B207" s="7" t="s">
        <v>157</v>
      </c>
      <c r="C207" s="8" t="s">
        <v>267</v>
      </c>
      <c r="D207" s="6">
        <v>99.625</v>
      </c>
      <c r="E207" s="6">
        <v>99.640625</v>
      </c>
      <c r="F207" s="6">
        <v>4.125</v>
      </c>
      <c r="G207" s="6" t="s">
        <v>18</v>
      </c>
      <c r="H207" s="9">
        <f t="shared" si="1"/>
        <v>99.6328125</v>
      </c>
      <c r="I207" s="6">
        <f>DAYS(C207,Context!$C$19)</f>
        <v>1740</v>
      </c>
      <c r="J207" s="10">
        <f>ACCRINT(L207,K207,Context!$C$19,F207/100,100,2,1)</f>
        <v>0.9799723757</v>
      </c>
      <c r="K207" s="11">
        <f>COUPNCD(Context!$C$19,C207,2,1)</f>
        <v>45807</v>
      </c>
      <c r="L207" s="11">
        <f>COUPPCD(Context!$C$19,C207,2,1)</f>
        <v>45626</v>
      </c>
      <c r="M207" s="9">
        <f t="shared" si="2"/>
        <v>100.6127849</v>
      </c>
      <c r="N207" s="6">
        <f>(C207-Context!$C$19)/365.25</f>
        <v>4.76386037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 t="s">
        <v>15</v>
      </c>
      <c r="B208" s="7" t="s">
        <v>218</v>
      </c>
      <c r="C208" s="8" t="s">
        <v>268</v>
      </c>
      <c r="D208" s="6">
        <v>98.4375</v>
      </c>
      <c r="E208" s="6">
        <v>98.46875</v>
      </c>
      <c r="F208" s="6">
        <v>3.875</v>
      </c>
      <c r="G208" s="6" t="s">
        <v>18</v>
      </c>
      <c r="H208" s="9">
        <f t="shared" si="1"/>
        <v>98.453125</v>
      </c>
      <c r="I208" s="6">
        <f>DAYS(C208,Context!$C$19)</f>
        <v>1771</v>
      </c>
      <c r="J208" s="10">
        <f>ACCRINT(L208,K208,Context!$C$19,F208/100,100,2,1)</f>
        <v>0.5855082418</v>
      </c>
      <c r="K208" s="11">
        <f>COUPNCD(Context!$C$19,C208,2,1)</f>
        <v>45838</v>
      </c>
      <c r="L208" s="11">
        <f>COUPPCD(Context!$C$19,C208,2,1)</f>
        <v>45657</v>
      </c>
      <c r="M208" s="9">
        <f t="shared" si="2"/>
        <v>99.03863324</v>
      </c>
      <c r="N208" s="6">
        <f>(C208-Context!$C$19)/365.25</f>
        <v>4.848733744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 t="s">
        <v>15</v>
      </c>
      <c r="B209" s="7" t="s">
        <v>163</v>
      </c>
      <c r="C209" s="8" t="s">
        <v>268</v>
      </c>
      <c r="D209" s="6">
        <v>100.65625</v>
      </c>
      <c r="E209" s="6">
        <v>100.671875</v>
      </c>
      <c r="F209" s="6">
        <v>4.375</v>
      </c>
      <c r="G209" s="6" t="s">
        <v>18</v>
      </c>
      <c r="H209" s="9">
        <f t="shared" si="1"/>
        <v>100.6640625</v>
      </c>
      <c r="I209" s="6">
        <f>DAYS(C209,Context!$C$19)</f>
        <v>1771</v>
      </c>
      <c r="J209" s="10">
        <f>ACCRINT(L209,K209,Context!$C$19,F209/100,100,2,1)</f>
        <v>0.6610576923</v>
      </c>
      <c r="K209" s="11">
        <f>COUPNCD(Context!$C$19,C209,2,1)</f>
        <v>45838</v>
      </c>
      <c r="L209" s="11">
        <f>COUPPCD(Context!$C$19,C209,2,1)</f>
        <v>45657</v>
      </c>
      <c r="M209" s="9">
        <f t="shared" si="2"/>
        <v>101.3251202</v>
      </c>
      <c r="N209" s="6">
        <f>(C209-Context!$C$19)/365.25</f>
        <v>4.848733744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 t="s">
        <v>15</v>
      </c>
      <c r="B210" s="7" t="s">
        <v>222</v>
      </c>
      <c r="C210" s="8" t="s">
        <v>269</v>
      </c>
      <c r="D210" s="6">
        <v>96.75</v>
      </c>
      <c r="E210" s="6">
        <v>96.7890625</v>
      </c>
      <c r="F210" s="6">
        <v>3.5</v>
      </c>
      <c r="G210" s="6" t="s">
        <v>18</v>
      </c>
      <c r="H210" s="9">
        <f t="shared" si="1"/>
        <v>96.76953125</v>
      </c>
      <c r="I210" s="6">
        <f>DAYS(C210,Context!$C$19)</f>
        <v>1802</v>
      </c>
      <c r="J210" s="10">
        <f>ACCRINT(L210,K210,Context!$C$19,F210/100,100,2,1)</f>
        <v>0.2320441989</v>
      </c>
      <c r="K210" s="11">
        <f>COUPNCD(Context!$C$19,C210,2,1)</f>
        <v>45869</v>
      </c>
      <c r="L210" s="11">
        <f>COUPPCD(Context!$C$19,C210,2,1)</f>
        <v>45688</v>
      </c>
      <c r="M210" s="9">
        <f t="shared" si="2"/>
        <v>97.00157545</v>
      </c>
      <c r="N210" s="6">
        <f>(C210-Context!$C$19)/365.25</f>
        <v>4.933607118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 t="s">
        <v>15</v>
      </c>
      <c r="B211" s="7" t="s">
        <v>168</v>
      </c>
      <c r="C211" s="8" t="s">
        <v>269</v>
      </c>
      <c r="D211" s="6">
        <v>100.1328125</v>
      </c>
      <c r="E211" s="6">
        <v>100.140625</v>
      </c>
      <c r="F211" s="6">
        <v>4.25</v>
      </c>
      <c r="G211" s="6" t="s">
        <v>18</v>
      </c>
      <c r="H211" s="9">
        <f t="shared" si="1"/>
        <v>100.1367188</v>
      </c>
      <c r="I211" s="6">
        <f>DAYS(C211,Context!$C$19)</f>
        <v>1802</v>
      </c>
      <c r="J211" s="10">
        <f>ACCRINT(L211,K211,Context!$C$19,F211/100,100,2,1)</f>
        <v>0.2817679558</v>
      </c>
      <c r="K211" s="11">
        <f>COUPNCD(Context!$C$19,C211,2,1)</f>
        <v>45869</v>
      </c>
      <c r="L211" s="11">
        <f>COUPPCD(Context!$C$19,C211,2,1)</f>
        <v>45688</v>
      </c>
      <c r="M211" s="9">
        <f t="shared" si="2"/>
        <v>100.4184867</v>
      </c>
      <c r="N211" s="6">
        <f>(C211-Context!$C$19)/365.25</f>
        <v>4.933607118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 t="s">
        <v>15</v>
      </c>
      <c r="B212" s="7" t="s">
        <v>270</v>
      </c>
      <c r="C212" s="8" t="s">
        <v>271</v>
      </c>
      <c r="D212" s="6">
        <v>87.828125</v>
      </c>
      <c r="E212" s="6">
        <v>87.8984375</v>
      </c>
      <c r="F212" s="6">
        <v>1.5</v>
      </c>
      <c r="G212" s="6" t="s">
        <v>18</v>
      </c>
      <c r="H212" s="9">
        <f t="shared" si="1"/>
        <v>87.86328125</v>
      </c>
      <c r="I212" s="6">
        <f>DAYS(C212,Context!$C$19)</f>
        <v>1817</v>
      </c>
      <c r="J212" s="10">
        <f>ACCRINT(L212,K212,Context!$C$19,F212/100,100,2,1)</f>
        <v>0.03729281768</v>
      </c>
      <c r="K212" s="11">
        <f>COUPNCD(Context!$C$19,C212,2,1)</f>
        <v>45884</v>
      </c>
      <c r="L212" s="11">
        <f>COUPPCD(Context!$C$19,C212,2,1)</f>
        <v>45703</v>
      </c>
      <c r="M212" s="9">
        <f t="shared" si="2"/>
        <v>87.90057407</v>
      </c>
      <c r="N212" s="6">
        <f>(C212-Context!$C$19)/365.25</f>
        <v>4.97467488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 t="s">
        <v>15</v>
      </c>
      <c r="B213" s="7" t="s">
        <v>19</v>
      </c>
      <c r="C213" s="8" t="s">
        <v>272</v>
      </c>
      <c r="D213" s="6">
        <v>98.9296875</v>
      </c>
      <c r="E213" s="6">
        <v>98.9609375</v>
      </c>
      <c r="F213" s="6">
        <v>4.0</v>
      </c>
      <c r="G213" s="6" t="s">
        <v>18</v>
      </c>
      <c r="H213" s="9">
        <f t="shared" si="1"/>
        <v>98.9453125</v>
      </c>
      <c r="I213" s="6">
        <f>DAYS(C213,Context!$C$19)</f>
        <v>1830</v>
      </c>
      <c r="J213" s="10">
        <f>ACCRINT(L213,K213,Context!$C$19,F213/100,100,2,1)</f>
        <v>1.956521739</v>
      </c>
      <c r="K213" s="11">
        <f>COUPNCD(Context!$C$19,C213,2,1)</f>
        <v>45716</v>
      </c>
      <c r="L213" s="11">
        <f>COUPPCD(Context!$C$19,C213,2,1)</f>
        <v>45532</v>
      </c>
      <c r="M213" s="9">
        <f t="shared" si="2"/>
        <v>100.9018342</v>
      </c>
      <c r="N213" s="6">
        <f>(C213-Context!$C$19)/365.25</f>
        <v>5.01026694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 t="s">
        <v>15</v>
      </c>
      <c r="B214" s="7" t="s">
        <v>25</v>
      </c>
      <c r="C214" s="8" t="s">
        <v>273</v>
      </c>
      <c r="D214" s="6">
        <v>97.1875</v>
      </c>
      <c r="E214" s="6">
        <v>97.2109375</v>
      </c>
      <c r="F214" s="6">
        <v>3.625</v>
      </c>
      <c r="G214" s="6" t="s">
        <v>18</v>
      </c>
      <c r="H214" s="9">
        <f t="shared" si="1"/>
        <v>97.19921875</v>
      </c>
      <c r="I214" s="6">
        <f>DAYS(C214,Context!$C$19)</f>
        <v>1861</v>
      </c>
      <c r="J214" s="10">
        <f>ACCRINT(L214,K214,Context!$C$19,F214/100,100,2,1)</f>
        <v>1.463942308</v>
      </c>
      <c r="K214" s="11">
        <f>COUPNCD(Context!$C$19,C214,2,1)</f>
        <v>45747</v>
      </c>
      <c r="L214" s="11">
        <f>COUPPCD(Context!$C$19,C214,2,1)</f>
        <v>45565</v>
      </c>
      <c r="M214" s="9">
        <f t="shared" si="2"/>
        <v>98.66316106</v>
      </c>
      <c r="N214" s="6">
        <f>(C214-Context!$C$19)/365.25</f>
        <v>5.095140315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 t="s">
        <v>15</v>
      </c>
      <c r="B215" s="7" t="s">
        <v>32</v>
      </c>
      <c r="C215" s="8" t="s">
        <v>274</v>
      </c>
      <c r="D215" s="6">
        <v>96.5625</v>
      </c>
      <c r="E215" s="6">
        <v>96.5859375</v>
      </c>
      <c r="F215" s="6">
        <v>3.5</v>
      </c>
      <c r="G215" s="6" t="s">
        <v>18</v>
      </c>
      <c r="H215" s="9">
        <f t="shared" si="1"/>
        <v>96.57421875</v>
      </c>
      <c r="I215" s="6">
        <f>DAYS(C215,Context!$C$19)</f>
        <v>1891</v>
      </c>
      <c r="J215" s="10">
        <f>ACCRINT(L215,K215,Context!$C$19,F215/100,100,2,1)</f>
        <v>1.125</v>
      </c>
      <c r="K215" s="11">
        <f>COUPNCD(Context!$C$19,C215,2,1)</f>
        <v>45777</v>
      </c>
      <c r="L215" s="11">
        <f>COUPPCD(Context!$C$19,C215,2,1)</f>
        <v>45595</v>
      </c>
      <c r="M215" s="9">
        <f t="shared" si="2"/>
        <v>97.69921875</v>
      </c>
      <c r="N215" s="6">
        <f>(C215-Context!$C$19)/365.25</f>
        <v>5.177275838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 t="s">
        <v>15</v>
      </c>
      <c r="B216" s="7" t="s">
        <v>275</v>
      </c>
      <c r="C216" s="8" t="s">
        <v>276</v>
      </c>
      <c r="D216" s="6">
        <v>109.2265625</v>
      </c>
      <c r="E216" s="6">
        <v>109.5390625</v>
      </c>
      <c r="F216" s="6">
        <v>6.25</v>
      </c>
      <c r="G216" s="6" t="s">
        <v>18</v>
      </c>
      <c r="H216" s="9">
        <f t="shared" si="1"/>
        <v>109.3828125</v>
      </c>
      <c r="I216" s="6">
        <f>DAYS(C216,Context!$C$19)</f>
        <v>1906</v>
      </c>
      <c r="J216" s="10">
        <f>ACCRINT(L216,K216,Context!$C$19,F216/100,100,2,1)</f>
        <v>1.74378453</v>
      </c>
      <c r="K216" s="11">
        <f>COUPNCD(Context!$C$19,C216,2,1)</f>
        <v>45792</v>
      </c>
      <c r="L216" s="11">
        <f>COUPPCD(Context!$C$19,C216,2,1)</f>
        <v>45611</v>
      </c>
      <c r="M216" s="9">
        <f t="shared" si="2"/>
        <v>111.126597</v>
      </c>
      <c r="N216" s="6">
        <f>(C216-Context!$C$19)/365.25</f>
        <v>5.2183436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 t="s">
        <v>15</v>
      </c>
      <c r="B217" s="7" t="s">
        <v>277</v>
      </c>
      <c r="C217" s="8" t="s">
        <v>276</v>
      </c>
      <c r="D217" s="6">
        <v>83.1640625</v>
      </c>
      <c r="E217" s="6">
        <v>83.2421875</v>
      </c>
      <c r="F217" s="6">
        <v>0.625</v>
      </c>
      <c r="G217" s="6" t="s">
        <v>18</v>
      </c>
      <c r="H217" s="9">
        <f t="shared" si="1"/>
        <v>83.203125</v>
      </c>
      <c r="I217" s="6">
        <f>DAYS(C217,Context!$C$19)</f>
        <v>1906</v>
      </c>
      <c r="J217" s="10">
        <f>ACCRINT(L217,K217,Context!$C$19,F217/100,100,2,1)</f>
        <v>0.174378453</v>
      </c>
      <c r="K217" s="11">
        <f>COUPNCD(Context!$C$19,C217,2,1)</f>
        <v>45792</v>
      </c>
      <c r="L217" s="11">
        <f>COUPPCD(Context!$C$19,C217,2,1)</f>
        <v>45611</v>
      </c>
      <c r="M217" s="9">
        <f t="shared" si="2"/>
        <v>83.37750345</v>
      </c>
      <c r="N217" s="6">
        <f>(C217-Context!$C$19)/365.25</f>
        <v>5.2183436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 t="s">
        <v>15</v>
      </c>
      <c r="B218" s="7" t="s">
        <v>38</v>
      </c>
      <c r="C218" s="8" t="s">
        <v>278</v>
      </c>
      <c r="D218" s="6">
        <v>97.6484375</v>
      </c>
      <c r="E218" s="6">
        <v>97.671875</v>
      </c>
      <c r="F218" s="6">
        <v>3.75</v>
      </c>
      <c r="G218" s="6" t="s">
        <v>18</v>
      </c>
      <c r="H218" s="9">
        <f t="shared" si="1"/>
        <v>97.66015625</v>
      </c>
      <c r="I218" s="6">
        <f>DAYS(C218,Context!$C$19)</f>
        <v>1922</v>
      </c>
      <c r="J218" s="10">
        <f>ACCRINT(L218,K218,Context!$C$19,F218/100,100,2,1)</f>
        <v>0.885989011</v>
      </c>
      <c r="K218" s="11">
        <f>COUPNCD(Context!$C$19,C218,2,1)</f>
        <v>45808</v>
      </c>
      <c r="L218" s="11">
        <f>COUPPCD(Context!$C$19,C218,2,1)</f>
        <v>45626</v>
      </c>
      <c r="M218" s="9">
        <f t="shared" si="2"/>
        <v>98.54614526</v>
      </c>
      <c r="N218" s="6">
        <f>(C218-Context!$C$19)/365.25</f>
        <v>5.262149213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 t="s">
        <v>15</v>
      </c>
      <c r="B219" s="7" t="s">
        <v>44</v>
      </c>
      <c r="C219" s="8" t="s">
        <v>279</v>
      </c>
      <c r="D219" s="6">
        <v>97.609375</v>
      </c>
      <c r="E219" s="6">
        <v>97.6328125</v>
      </c>
      <c r="F219" s="6">
        <v>3.75</v>
      </c>
      <c r="G219" s="6" t="s">
        <v>18</v>
      </c>
      <c r="H219" s="9">
        <f t="shared" si="1"/>
        <v>97.62109375</v>
      </c>
      <c r="I219" s="6">
        <f>DAYS(C219,Context!$C$19)</f>
        <v>1952</v>
      </c>
      <c r="J219" s="10">
        <f>ACCRINT(L219,K219,Context!$C$19,F219/100,100,2,1)</f>
        <v>0.5769230769</v>
      </c>
      <c r="K219" s="11">
        <f>COUPNCD(Context!$C$19,C219,2,1)</f>
        <v>45838</v>
      </c>
      <c r="L219" s="11">
        <f>COUPPCD(Context!$C$19,C219,2,1)</f>
        <v>45656</v>
      </c>
      <c r="M219" s="9">
        <f t="shared" si="2"/>
        <v>98.19801683</v>
      </c>
      <c r="N219" s="6">
        <f>(C219-Context!$C$19)/365.25</f>
        <v>5.344284736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 t="s">
        <v>15</v>
      </c>
      <c r="B220" s="7" t="s">
        <v>51</v>
      </c>
      <c r="C220" s="8" t="s">
        <v>280</v>
      </c>
      <c r="D220" s="6">
        <v>98.7734375</v>
      </c>
      <c r="E220" s="6">
        <v>98.796875</v>
      </c>
      <c r="F220" s="6">
        <v>4.0</v>
      </c>
      <c r="G220" s="6" t="s">
        <v>18</v>
      </c>
      <c r="H220" s="9">
        <f t="shared" si="1"/>
        <v>98.78515625</v>
      </c>
      <c r="I220" s="6">
        <f>DAYS(C220,Context!$C$19)</f>
        <v>1983</v>
      </c>
      <c r="J220" s="10">
        <f>ACCRINT(L220,K220,Context!$C$19,F220/100,100,2,1)</f>
        <v>0.2651933702</v>
      </c>
      <c r="K220" s="11">
        <f>COUPNCD(Context!$C$19,C220,2,1)</f>
        <v>45869</v>
      </c>
      <c r="L220" s="11">
        <f>COUPPCD(Context!$C$19,C220,2,1)</f>
        <v>45688</v>
      </c>
      <c r="M220" s="9">
        <f t="shared" si="2"/>
        <v>99.05034962</v>
      </c>
      <c r="N220" s="6">
        <f>(C220-Context!$C$19)/365.25</f>
        <v>5.429158111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 t="s">
        <v>15</v>
      </c>
      <c r="B221" s="7" t="s">
        <v>281</v>
      </c>
      <c r="C221" s="8" t="s">
        <v>282</v>
      </c>
      <c r="D221" s="6">
        <v>82.4140625</v>
      </c>
      <c r="E221" s="6">
        <v>82.5</v>
      </c>
      <c r="F221" s="6">
        <v>0.625</v>
      </c>
      <c r="G221" s="6" t="s">
        <v>18</v>
      </c>
      <c r="H221" s="9">
        <f t="shared" si="1"/>
        <v>82.45703125</v>
      </c>
      <c r="I221" s="6">
        <f>DAYS(C221,Context!$C$19)</f>
        <v>1998</v>
      </c>
      <c r="J221" s="10">
        <f>ACCRINT(L221,K221,Context!$C$19,F221/100,100,2,1)</f>
        <v>0.01553867403</v>
      </c>
      <c r="K221" s="11">
        <f>COUPNCD(Context!$C$19,C221,2,1)</f>
        <v>45884</v>
      </c>
      <c r="L221" s="11">
        <f>COUPPCD(Context!$C$19,C221,2,1)</f>
        <v>45703</v>
      </c>
      <c r="M221" s="9">
        <f t="shared" si="2"/>
        <v>82.47256992</v>
      </c>
      <c r="N221" s="6">
        <f>(C221-Context!$C$19)/365.25</f>
        <v>5.470225873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 t="s">
        <v>15</v>
      </c>
      <c r="B222" s="7" t="s">
        <v>59</v>
      </c>
      <c r="C222" s="8" t="s">
        <v>283</v>
      </c>
      <c r="D222" s="6">
        <v>99.328125</v>
      </c>
      <c r="E222" s="6">
        <v>99.3515625</v>
      </c>
      <c r="F222" s="6">
        <v>4.125</v>
      </c>
      <c r="G222" s="6" t="s">
        <v>18</v>
      </c>
      <c r="H222" s="9">
        <f t="shared" si="1"/>
        <v>99.33984375</v>
      </c>
      <c r="I222" s="6">
        <f>DAYS(C222,Context!$C$19)</f>
        <v>2014</v>
      </c>
      <c r="J222" s="10">
        <f>ACCRINT(L222,K222,Context!$C$19,F222/100,100,2,1)</f>
        <v>1.984035326</v>
      </c>
      <c r="K222" s="11">
        <f>COUPNCD(Context!$C$19,C222,2,1)</f>
        <v>45716</v>
      </c>
      <c r="L222" s="11">
        <f>COUPPCD(Context!$C$19,C222,2,1)</f>
        <v>45535</v>
      </c>
      <c r="M222" s="9">
        <f t="shared" si="2"/>
        <v>101.3238791</v>
      </c>
      <c r="N222" s="6">
        <f>(C222-Context!$C$19)/365.25</f>
        <v>5.514031485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 t="s">
        <v>15</v>
      </c>
      <c r="B223" s="7" t="s">
        <v>64</v>
      </c>
      <c r="C223" s="8" t="s">
        <v>284</v>
      </c>
      <c r="D223" s="6">
        <v>101.78125</v>
      </c>
      <c r="E223" s="6">
        <v>101.8125</v>
      </c>
      <c r="F223" s="6">
        <v>4.625</v>
      </c>
      <c r="G223" s="6" t="s">
        <v>18</v>
      </c>
      <c r="H223" s="9">
        <f t="shared" si="1"/>
        <v>101.796875</v>
      </c>
      <c r="I223" s="6">
        <f>DAYS(C223,Context!$C$19)</f>
        <v>2044</v>
      </c>
      <c r="J223" s="10">
        <f>ACCRINT(L223,K223,Context!$C$19,F223/100,100,2,1)</f>
        <v>1.878107735</v>
      </c>
      <c r="K223" s="11">
        <f>COUPNCD(Context!$C$19,C223,2,1)</f>
        <v>45746</v>
      </c>
      <c r="L223" s="11">
        <f>COUPPCD(Context!$C$19,C223,2,1)</f>
        <v>45565</v>
      </c>
      <c r="M223" s="9">
        <f t="shared" si="2"/>
        <v>103.6749827</v>
      </c>
      <c r="N223" s="6">
        <f>(C223-Context!$C$19)/365.25</f>
        <v>5.596167009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 t="s">
        <v>15</v>
      </c>
      <c r="B224" s="7" t="s">
        <v>70</v>
      </c>
      <c r="C224" s="8" t="s">
        <v>285</v>
      </c>
      <c r="D224" s="6">
        <v>103.0546875</v>
      </c>
      <c r="E224" s="6">
        <v>103.078125</v>
      </c>
      <c r="F224" s="6">
        <v>4.875</v>
      </c>
      <c r="G224" s="6" t="s">
        <v>18</v>
      </c>
      <c r="H224" s="9">
        <f t="shared" si="1"/>
        <v>103.0664063</v>
      </c>
      <c r="I224" s="6">
        <f>DAYS(C224,Context!$C$19)</f>
        <v>2075</v>
      </c>
      <c r="J224" s="10">
        <f>ACCRINT(L224,K224,Context!$C$19,F224/100,100,2,1)</f>
        <v>1.553571429</v>
      </c>
      <c r="K224" s="11">
        <f>COUPNCD(Context!$C$19,C224,2,1)</f>
        <v>45777</v>
      </c>
      <c r="L224" s="11">
        <f>COUPPCD(Context!$C$19,C224,2,1)</f>
        <v>45596</v>
      </c>
      <c r="M224" s="9">
        <f t="shared" si="2"/>
        <v>104.6199777</v>
      </c>
      <c r="N224" s="6">
        <f>(C224-Context!$C$19)/365.25</f>
        <v>5.681040383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 t="s">
        <v>15</v>
      </c>
      <c r="B225" s="7" t="s">
        <v>286</v>
      </c>
      <c r="C225" s="8" t="s">
        <v>287</v>
      </c>
      <c r="D225" s="6">
        <v>82.9765625</v>
      </c>
      <c r="E225" s="6">
        <v>83.0546875</v>
      </c>
      <c r="F225" s="6">
        <v>0.875</v>
      </c>
      <c r="G225" s="6" t="s">
        <v>18</v>
      </c>
      <c r="H225" s="9">
        <f t="shared" si="1"/>
        <v>83.015625</v>
      </c>
      <c r="I225" s="6">
        <f>DAYS(C225,Context!$C$19)</f>
        <v>2090</v>
      </c>
      <c r="J225" s="10">
        <f>ACCRINT(L225,K225,Context!$C$19,F225/100,100,2,1)</f>
        <v>0.2441298343</v>
      </c>
      <c r="K225" s="11">
        <f>COUPNCD(Context!$C$19,C225,2,1)</f>
        <v>45792</v>
      </c>
      <c r="L225" s="11">
        <f>COUPPCD(Context!$C$19,C225,2,1)</f>
        <v>45611</v>
      </c>
      <c r="M225" s="9">
        <f t="shared" si="2"/>
        <v>83.25975483</v>
      </c>
      <c r="N225" s="6">
        <f>(C225-Context!$C$19)/365.25</f>
        <v>5.722108145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 t="s">
        <v>15</v>
      </c>
      <c r="B226" s="7" t="s">
        <v>78</v>
      </c>
      <c r="C226" s="8" t="s">
        <v>288</v>
      </c>
      <c r="D226" s="6">
        <v>100.515625</v>
      </c>
      <c r="E226" s="6">
        <v>100.546875</v>
      </c>
      <c r="F226" s="6">
        <v>4.375</v>
      </c>
      <c r="G226" s="6" t="s">
        <v>18</v>
      </c>
      <c r="H226" s="9">
        <f t="shared" si="1"/>
        <v>100.53125</v>
      </c>
      <c r="I226" s="6">
        <f>DAYS(C226,Context!$C$19)</f>
        <v>2105</v>
      </c>
      <c r="J226" s="10">
        <f>ACCRINT(L226,K226,Context!$C$19,F226/100,100,2,1)</f>
        <v>1.039364641</v>
      </c>
      <c r="K226" s="11">
        <f>COUPNCD(Context!$C$19,C226,2,1)</f>
        <v>45807</v>
      </c>
      <c r="L226" s="11">
        <f>COUPPCD(Context!$C$19,C226,2,1)</f>
        <v>45626</v>
      </c>
      <c r="M226" s="9">
        <f t="shared" si="2"/>
        <v>101.5706146</v>
      </c>
      <c r="N226" s="6">
        <f>(C226-Context!$C$19)/365.25</f>
        <v>5.763175907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 t="s">
        <v>15</v>
      </c>
      <c r="B227" s="7" t="s">
        <v>81</v>
      </c>
      <c r="C227" s="8" t="s">
        <v>289</v>
      </c>
      <c r="D227" s="6">
        <v>97.3125</v>
      </c>
      <c r="E227" s="6">
        <v>97.3359375</v>
      </c>
      <c r="F227" s="6">
        <v>3.75</v>
      </c>
      <c r="G227" s="6" t="s">
        <v>18</v>
      </c>
      <c r="H227" s="9">
        <f t="shared" si="1"/>
        <v>97.32421875</v>
      </c>
      <c r="I227" s="6">
        <f>DAYS(C227,Context!$C$19)</f>
        <v>2136</v>
      </c>
      <c r="J227" s="10">
        <f>ACCRINT(L227,K227,Context!$C$19,F227/100,100,2,1)</f>
        <v>0.5666208791</v>
      </c>
      <c r="K227" s="11">
        <f>COUPNCD(Context!$C$19,C227,2,1)</f>
        <v>45838</v>
      </c>
      <c r="L227" s="11">
        <f>COUPPCD(Context!$C$19,C227,2,1)</f>
        <v>45657</v>
      </c>
      <c r="M227" s="9">
        <f t="shared" si="2"/>
        <v>97.89083963</v>
      </c>
      <c r="N227" s="6">
        <f>(C227-Context!$C$19)/365.25</f>
        <v>5.848049281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 t="s">
        <v>15</v>
      </c>
      <c r="B228" s="7" t="s">
        <v>89</v>
      </c>
      <c r="C228" s="8" t="s">
        <v>290</v>
      </c>
      <c r="D228" s="6">
        <v>98.5703125</v>
      </c>
      <c r="E228" s="6">
        <v>98.6015625</v>
      </c>
      <c r="F228" s="6">
        <v>4.0</v>
      </c>
      <c r="G228" s="6" t="s">
        <v>18</v>
      </c>
      <c r="H228" s="9">
        <f t="shared" si="1"/>
        <v>98.5859375</v>
      </c>
      <c r="I228" s="6">
        <f>DAYS(C228,Context!$C$19)</f>
        <v>2167</v>
      </c>
      <c r="J228" s="10">
        <f>ACCRINT(L228,K228,Context!$C$19,F228/100,100,2,1)</f>
        <v>0.2651933702</v>
      </c>
      <c r="K228" s="11">
        <f>COUPNCD(Context!$C$19,C228,2,1)</f>
        <v>45869</v>
      </c>
      <c r="L228" s="11">
        <f>COUPPCD(Context!$C$19,C228,2,1)</f>
        <v>45688</v>
      </c>
      <c r="M228" s="9">
        <f t="shared" si="2"/>
        <v>98.85113087</v>
      </c>
      <c r="N228" s="6">
        <f>(C228-Context!$C$19)/365.25</f>
        <v>5.932922656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 t="s">
        <v>15</v>
      </c>
      <c r="B229" s="7" t="s">
        <v>291</v>
      </c>
      <c r="C229" s="8" t="s">
        <v>292</v>
      </c>
      <c r="D229" s="6">
        <v>105.6796875</v>
      </c>
      <c r="E229" s="6">
        <v>105.9921875</v>
      </c>
      <c r="F229" s="6">
        <v>5.375</v>
      </c>
      <c r="G229" s="6" t="s">
        <v>18</v>
      </c>
      <c r="H229" s="9">
        <f t="shared" si="1"/>
        <v>105.8359375</v>
      </c>
      <c r="I229" s="6">
        <f>DAYS(C229,Context!$C$19)</f>
        <v>2182</v>
      </c>
      <c r="J229" s="10">
        <f>ACCRINT(L229,K229,Context!$C$19,F229/100,100,2,1)</f>
        <v>0.1336325967</v>
      </c>
      <c r="K229" s="11">
        <f>COUPNCD(Context!$C$19,C229,2,1)</f>
        <v>45884</v>
      </c>
      <c r="L229" s="11">
        <f>COUPPCD(Context!$C$19,C229,2,1)</f>
        <v>45703</v>
      </c>
      <c r="M229" s="9">
        <f t="shared" si="2"/>
        <v>105.9695701</v>
      </c>
      <c r="N229" s="6">
        <f>(C229-Context!$C$19)/365.25</f>
        <v>5.973990418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 t="s">
        <v>15</v>
      </c>
      <c r="B230" s="7" t="s">
        <v>293</v>
      </c>
      <c r="C230" s="8" t="s">
        <v>292</v>
      </c>
      <c r="D230" s="6">
        <v>83.6796875</v>
      </c>
      <c r="E230" s="6">
        <v>83.7578125</v>
      </c>
      <c r="F230" s="6">
        <v>1.125</v>
      </c>
      <c r="G230" s="6" t="s">
        <v>18</v>
      </c>
      <c r="H230" s="9">
        <f t="shared" si="1"/>
        <v>83.71875</v>
      </c>
      <c r="I230" s="6">
        <f>DAYS(C230,Context!$C$19)</f>
        <v>2182</v>
      </c>
      <c r="J230" s="10">
        <f>ACCRINT(L230,K230,Context!$C$19,F230/100,100,2,1)</f>
        <v>0.02796961326</v>
      </c>
      <c r="K230" s="11">
        <f>COUPNCD(Context!$C$19,C230,2,1)</f>
        <v>45884</v>
      </c>
      <c r="L230" s="11">
        <f>COUPPCD(Context!$C$19,C230,2,1)</f>
        <v>45703</v>
      </c>
      <c r="M230" s="9">
        <f t="shared" si="2"/>
        <v>83.74671961</v>
      </c>
      <c r="N230" s="6">
        <f>(C230-Context!$C$19)/365.25</f>
        <v>5.973990418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 t="s">
        <v>15</v>
      </c>
      <c r="B231" s="7" t="s">
        <v>97</v>
      </c>
      <c r="C231" s="8" t="s">
        <v>294</v>
      </c>
      <c r="D231" s="6">
        <v>99.84375</v>
      </c>
      <c r="E231" s="6">
        <v>99.875</v>
      </c>
      <c r="F231" s="6">
        <v>4.25</v>
      </c>
      <c r="G231" s="6" t="s">
        <v>18</v>
      </c>
      <c r="H231" s="9">
        <f t="shared" si="1"/>
        <v>99.859375</v>
      </c>
      <c r="I231" s="6">
        <f>DAYS(C231,Context!$C$19)</f>
        <v>2195</v>
      </c>
      <c r="J231" s="10">
        <f>ACCRINT(L231,K231,Context!$C$19,F231/100,100,2,1)</f>
        <v>2.078804348</v>
      </c>
      <c r="K231" s="11">
        <f>COUPNCD(Context!$C$19,C231,2,1)</f>
        <v>45716</v>
      </c>
      <c r="L231" s="11">
        <f>COUPPCD(Context!$C$19,C231,2,1)</f>
        <v>45532</v>
      </c>
      <c r="M231" s="9">
        <f t="shared" si="2"/>
        <v>101.9381793</v>
      </c>
      <c r="N231" s="6">
        <f>(C231-Context!$C$19)/365.25</f>
        <v>6.009582478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 t="s">
        <v>15</v>
      </c>
      <c r="B232" s="7" t="s">
        <v>104</v>
      </c>
      <c r="C232" s="8" t="s">
        <v>295</v>
      </c>
      <c r="D232" s="6">
        <v>99.15625</v>
      </c>
      <c r="E232" s="6">
        <v>99.1875</v>
      </c>
      <c r="F232" s="6">
        <v>4.125</v>
      </c>
      <c r="G232" s="6" t="s">
        <v>18</v>
      </c>
      <c r="H232" s="9">
        <f t="shared" si="1"/>
        <v>99.171875</v>
      </c>
      <c r="I232" s="6">
        <f>DAYS(C232,Context!$C$19)</f>
        <v>2226</v>
      </c>
      <c r="J232" s="10">
        <f>ACCRINT(L232,K232,Context!$C$19,F232/100,100,2,1)</f>
        <v>1.665865385</v>
      </c>
      <c r="K232" s="11">
        <f>COUPNCD(Context!$C$19,C232,2,1)</f>
        <v>45747</v>
      </c>
      <c r="L232" s="11">
        <f>COUPPCD(Context!$C$19,C232,2,1)</f>
        <v>45565</v>
      </c>
      <c r="M232" s="9">
        <f t="shared" si="2"/>
        <v>100.8377404</v>
      </c>
      <c r="N232" s="6">
        <f>(C232-Context!$C$19)/365.25</f>
        <v>6.094455852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 t="s">
        <v>15</v>
      </c>
      <c r="B233" s="7" t="s">
        <v>110</v>
      </c>
      <c r="C233" s="8" t="s">
        <v>296</v>
      </c>
      <c r="D233" s="6">
        <v>101.8359375</v>
      </c>
      <c r="E233" s="6">
        <v>101.859375</v>
      </c>
      <c r="F233" s="6">
        <v>4.625</v>
      </c>
      <c r="G233" s="6" t="s">
        <v>18</v>
      </c>
      <c r="H233" s="9">
        <f t="shared" si="1"/>
        <v>101.8476563</v>
      </c>
      <c r="I233" s="6">
        <f>DAYS(C233,Context!$C$19)</f>
        <v>2256</v>
      </c>
      <c r="J233" s="10">
        <f>ACCRINT(L233,K233,Context!$C$19,F233/100,100,2,1)</f>
        <v>1.486607143</v>
      </c>
      <c r="K233" s="11">
        <f>COUPNCD(Context!$C$19,C233,2,1)</f>
        <v>45777</v>
      </c>
      <c r="L233" s="11">
        <f>COUPPCD(Context!$C$19,C233,2,1)</f>
        <v>45595</v>
      </c>
      <c r="M233" s="9">
        <f t="shared" si="2"/>
        <v>103.3342634</v>
      </c>
      <c r="N233" s="6">
        <f>(C233-Context!$C$19)/365.25</f>
        <v>6.176591376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 t="s">
        <v>15</v>
      </c>
      <c r="B234" s="7" t="s">
        <v>297</v>
      </c>
      <c r="C234" s="8" t="s">
        <v>298</v>
      </c>
      <c r="D234" s="6">
        <v>85.578125</v>
      </c>
      <c r="E234" s="6">
        <v>85.6171875</v>
      </c>
      <c r="F234" s="6">
        <v>1.625</v>
      </c>
      <c r="G234" s="6" t="s">
        <v>18</v>
      </c>
      <c r="H234" s="9">
        <f t="shared" si="1"/>
        <v>85.59765625</v>
      </c>
      <c r="I234" s="6">
        <f>DAYS(C234,Context!$C$19)</f>
        <v>2271</v>
      </c>
      <c r="J234" s="10">
        <f>ACCRINT(L234,K234,Context!$C$19,F234/100,100,2,1)</f>
        <v>0.4533839779</v>
      </c>
      <c r="K234" s="11">
        <f>COUPNCD(Context!$C$19,C234,2,1)</f>
        <v>45792</v>
      </c>
      <c r="L234" s="11">
        <f>COUPPCD(Context!$C$19,C234,2,1)</f>
        <v>45611</v>
      </c>
      <c r="M234" s="9">
        <f t="shared" si="2"/>
        <v>86.05104023</v>
      </c>
      <c r="N234" s="6">
        <f>(C234-Context!$C$19)/365.25</f>
        <v>6.217659138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 t="s">
        <v>15</v>
      </c>
      <c r="B235" s="7" t="s">
        <v>116</v>
      </c>
      <c r="C235" s="8" t="s">
        <v>299</v>
      </c>
      <c r="D235" s="6">
        <v>101.8125</v>
      </c>
      <c r="E235" s="6">
        <v>101.84375</v>
      </c>
      <c r="F235" s="6">
        <v>4.625</v>
      </c>
      <c r="G235" s="6" t="s">
        <v>18</v>
      </c>
      <c r="H235" s="9">
        <f t="shared" si="1"/>
        <v>101.828125</v>
      </c>
      <c r="I235" s="6">
        <f>DAYS(C235,Context!$C$19)</f>
        <v>2287</v>
      </c>
      <c r="J235" s="10">
        <f>ACCRINT(L235,K235,Context!$C$19,F235/100,100,2,1)</f>
        <v>1.09271978</v>
      </c>
      <c r="K235" s="11">
        <f>COUPNCD(Context!$C$19,C235,2,1)</f>
        <v>45808</v>
      </c>
      <c r="L235" s="11">
        <f>COUPPCD(Context!$C$19,C235,2,1)</f>
        <v>45626</v>
      </c>
      <c r="M235" s="9">
        <f t="shared" si="2"/>
        <v>102.9208448</v>
      </c>
      <c r="N235" s="6">
        <f>(C235-Context!$C$19)/365.25</f>
        <v>6.26146475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 t="s">
        <v>15</v>
      </c>
      <c r="B236" s="7" t="s">
        <v>123</v>
      </c>
      <c r="C236" s="8" t="s">
        <v>300</v>
      </c>
      <c r="D236" s="6">
        <v>99.78125</v>
      </c>
      <c r="E236" s="6">
        <v>99.8046875</v>
      </c>
      <c r="F236" s="6">
        <v>4.25</v>
      </c>
      <c r="G236" s="6" t="s">
        <v>18</v>
      </c>
      <c r="H236" s="9">
        <f t="shared" si="1"/>
        <v>99.79296875</v>
      </c>
      <c r="I236" s="6">
        <f>DAYS(C236,Context!$C$19)</f>
        <v>2317</v>
      </c>
      <c r="J236" s="10">
        <f>ACCRINT(L236,K236,Context!$C$19,F236/100,100,2,1)</f>
        <v>0.6538461538</v>
      </c>
      <c r="K236" s="11">
        <f>COUPNCD(Context!$C$19,C236,2,1)</f>
        <v>45838</v>
      </c>
      <c r="L236" s="11">
        <f>COUPPCD(Context!$C$19,C236,2,1)</f>
        <v>45656</v>
      </c>
      <c r="M236" s="9">
        <f t="shared" si="2"/>
        <v>100.4468149</v>
      </c>
      <c r="N236" s="6">
        <f>(C236-Context!$C$19)/365.25</f>
        <v>6.343600274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 t="s">
        <v>15</v>
      </c>
      <c r="B237" s="7" t="s">
        <v>128</v>
      </c>
      <c r="C237" s="8" t="s">
        <v>301</v>
      </c>
      <c r="D237" s="6">
        <v>99.078125</v>
      </c>
      <c r="E237" s="6">
        <v>99.1015625</v>
      </c>
      <c r="F237" s="6">
        <v>4.125</v>
      </c>
      <c r="G237" s="6" t="s">
        <v>18</v>
      </c>
      <c r="H237" s="9">
        <f t="shared" si="1"/>
        <v>99.08984375</v>
      </c>
      <c r="I237" s="6">
        <f>DAYS(C237,Context!$C$19)</f>
        <v>2348</v>
      </c>
      <c r="J237" s="10">
        <f>ACCRINT(L237,K237,Context!$C$19,F237/100,100,2,1)</f>
        <v>0.273480663</v>
      </c>
      <c r="K237" s="11">
        <f>COUPNCD(Context!$C$19,C237,2,1)</f>
        <v>45869</v>
      </c>
      <c r="L237" s="11">
        <f>COUPPCD(Context!$C$19,C237,2,1)</f>
        <v>45688</v>
      </c>
      <c r="M237" s="9">
        <f t="shared" si="2"/>
        <v>99.36332441</v>
      </c>
      <c r="N237" s="6">
        <f>(C237-Context!$C$19)/365.25</f>
        <v>6.428473648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 t="s">
        <v>15</v>
      </c>
      <c r="B238" s="7" t="s">
        <v>302</v>
      </c>
      <c r="C238" s="8" t="s">
        <v>303</v>
      </c>
      <c r="D238" s="6">
        <v>82.90625</v>
      </c>
      <c r="E238" s="6">
        <v>82.953125</v>
      </c>
      <c r="F238" s="6">
        <v>1.25</v>
      </c>
      <c r="G238" s="6" t="s">
        <v>18</v>
      </c>
      <c r="H238" s="9">
        <f t="shared" si="1"/>
        <v>82.9296875</v>
      </c>
      <c r="I238" s="6">
        <f>DAYS(C238,Context!$C$19)</f>
        <v>2363</v>
      </c>
      <c r="J238" s="10">
        <f>ACCRINT(L238,K238,Context!$C$19,F238/100,100,2,1)</f>
        <v>0.03107734807</v>
      </c>
      <c r="K238" s="11">
        <f>COUPNCD(Context!$C$19,C238,2,1)</f>
        <v>45884</v>
      </c>
      <c r="L238" s="11">
        <f>COUPPCD(Context!$C$19,C238,2,1)</f>
        <v>45703</v>
      </c>
      <c r="M238" s="9">
        <f t="shared" si="2"/>
        <v>82.96076485</v>
      </c>
      <c r="N238" s="6">
        <f>(C238-Context!$C$19)/365.25</f>
        <v>6.46954141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 t="s">
        <v>15</v>
      </c>
      <c r="B239" s="7" t="s">
        <v>137</v>
      </c>
      <c r="C239" s="8" t="s">
        <v>304</v>
      </c>
      <c r="D239" s="6">
        <v>96.90625</v>
      </c>
      <c r="E239" s="6">
        <v>96.9375</v>
      </c>
      <c r="F239" s="6">
        <v>3.75</v>
      </c>
      <c r="G239" s="6" t="s">
        <v>18</v>
      </c>
      <c r="H239" s="9">
        <f t="shared" si="1"/>
        <v>96.921875</v>
      </c>
      <c r="I239" s="6">
        <f>DAYS(C239,Context!$C$19)</f>
        <v>2379</v>
      </c>
      <c r="J239" s="10">
        <f>ACCRINT(L239,K239,Context!$C$19,F239/100,100,2,1)</f>
        <v>1.803668478</v>
      </c>
      <c r="K239" s="11">
        <f>COUPNCD(Context!$C$19,C239,2,1)</f>
        <v>45716</v>
      </c>
      <c r="L239" s="11">
        <f>COUPPCD(Context!$C$19,C239,2,1)</f>
        <v>45535</v>
      </c>
      <c r="M239" s="9">
        <f t="shared" si="2"/>
        <v>98.72554348</v>
      </c>
      <c r="N239" s="6">
        <f>(C239-Context!$C$19)/365.25</f>
        <v>6.513347023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 t="s">
        <v>15</v>
      </c>
      <c r="B240" s="7" t="s">
        <v>143</v>
      </c>
      <c r="C240" s="8" t="s">
        <v>305</v>
      </c>
      <c r="D240" s="6">
        <v>96.171875</v>
      </c>
      <c r="E240" s="6">
        <v>96.203125</v>
      </c>
      <c r="F240" s="6">
        <v>3.625</v>
      </c>
      <c r="G240" s="6" t="s">
        <v>18</v>
      </c>
      <c r="H240" s="9">
        <f t="shared" si="1"/>
        <v>96.1875</v>
      </c>
      <c r="I240" s="6">
        <f>DAYS(C240,Context!$C$19)</f>
        <v>2409</v>
      </c>
      <c r="J240" s="10">
        <f>ACCRINT(L240,K240,Context!$C$19,F240/100,100,2,1)</f>
        <v>1.472030387</v>
      </c>
      <c r="K240" s="11">
        <f>COUPNCD(Context!$C$19,C240,2,1)</f>
        <v>45746</v>
      </c>
      <c r="L240" s="11">
        <f>COUPPCD(Context!$C$19,C240,2,1)</f>
        <v>45565</v>
      </c>
      <c r="M240" s="9">
        <f t="shared" si="2"/>
        <v>97.65953039</v>
      </c>
      <c r="N240" s="6">
        <f>(C240-Context!$C$19)/365.25</f>
        <v>6.595482546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 t="s">
        <v>15</v>
      </c>
      <c r="B241" s="7" t="s">
        <v>148</v>
      </c>
      <c r="C241" s="8" t="s">
        <v>306</v>
      </c>
      <c r="D241" s="6">
        <v>98.984375</v>
      </c>
      <c r="E241" s="6">
        <v>99.015625</v>
      </c>
      <c r="F241" s="6">
        <v>4.125</v>
      </c>
      <c r="G241" s="6" t="s">
        <v>18</v>
      </c>
      <c r="H241" s="9">
        <f t="shared" si="1"/>
        <v>99</v>
      </c>
      <c r="I241" s="6">
        <f>DAYS(C241,Context!$C$19)</f>
        <v>2440</v>
      </c>
      <c r="J241" s="10">
        <f>ACCRINT(L241,K241,Context!$C$19,F241/100,100,2,1)</f>
        <v>1.31456044</v>
      </c>
      <c r="K241" s="11">
        <f>COUPNCD(Context!$C$19,C241,2,1)</f>
        <v>45777</v>
      </c>
      <c r="L241" s="11">
        <f>COUPPCD(Context!$C$19,C241,2,1)</f>
        <v>45596</v>
      </c>
      <c r="M241" s="9">
        <f t="shared" si="2"/>
        <v>100.3145604</v>
      </c>
      <c r="N241" s="6">
        <f>(C241-Context!$C$19)/365.25</f>
        <v>6.680355921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 t="s">
        <v>15</v>
      </c>
      <c r="B242" s="7" t="s">
        <v>307</v>
      </c>
      <c r="C242" s="8" t="s">
        <v>308</v>
      </c>
      <c r="D242" s="6">
        <v>83.03125</v>
      </c>
      <c r="E242" s="6">
        <v>83.0625</v>
      </c>
      <c r="F242" s="6">
        <v>1.375</v>
      </c>
      <c r="G242" s="6" t="s">
        <v>18</v>
      </c>
      <c r="H242" s="9">
        <f t="shared" si="1"/>
        <v>83.046875</v>
      </c>
      <c r="I242" s="6">
        <f>DAYS(C242,Context!$C$19)</f>
        <v>2455</v>
      </c>
      <c r="J242" s="10">
        <f>ACCRINT(L242,K242,Context!$C$19,F242/100,100,2,1)</f>
        <v>0.3836325967</v>
      </c>
      <c r="K242" s="11">
        <f>COUPNCD(Context!$C$19,C242,2,1)</f>
        <v>45792</v>
      </c>
      <c r="L242" s="11">
        <f>COUPPCD(Context!$C$19,C242,2,1)</f>
        <v>45611</v>
      </c>
      <c r="M242" s="9">
        <f t="shared" si="2"/>
        <v>83.4305076</v>
      </c>
      <c r="N242" s="6">
        <f>(C242-Context!$C$19)/365.25</f>
        <v>6.721423682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 t="s">
        <v>15</v>
      </c>
      <c r="B243" s="7" t="s">
        <v>157</v>
      </c>
      <c r="C243" s="8" t="s">
        <v>309</v>
      </c>
      <c r="D243" s="6">
        <v>98.96875</v>
      </c>
      <c r="E243" s="6">
        <v>99.0</v>
      </c>
      <c r="F243" s="6">
        <v>4.125</v>
      </c>
      <c r="G243" s="6" t="s">
        <v>18</v>
      </c>
      <c r="H243" s="9">
        <f t="shared" si="1"/>
        <v>98.984375</v>
      </c>
      <c r="I243" s="6">
        <f>DAYS(C243,Context!$C$19)</f>
        <v>2470</v>
      </c>
      <c r="J243" s="10">
        <f>ACCRINT(L243,K243,Context!$C$19,F243/100,100,2,1)</f>
        <v>0.9799723757</v>
      </c>
      <c r="K243" s="11">
        <f>COUPNCD(Context!$C$19,C243,2,1)</f>
        <v>45807</v>
      </c>
      <c r="L243" s="11">
        <f>COUPPCD(Context!$C$19,C243,2,1)</f>
        <v>45626</v>
      </c>
      <c r="M243" s="9">
        <f t="shared" si="2"/>
        <v>99.96434738</v>
      </c>
      <c r="N243" s="6">
        <f>(C243-Context!$C$19)/365.25</f>
        <v>6.762491444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 t="s">
        <v>15</v>
      </c>
      <c r="B244" s="7" t="s">
        <v>163</v>
      </c>
      <c r="C244" s="8" t="s">
        <v>310</v>
      </c>
      <c r="D244" s="6">
        <v>101.171875</v>
      </c>
      <c r="E244" s="6">
        <v>101.203125</v>
      </c>
      <c r="F244" s="6">
        <v>4.5</v>
      </c>
      <c r="G244" s="6" t="s">
        <v>18</v>
      </c>
      <c r="H244" s="9">
        <f t="shared" si="1"/>
        <v>101.1875</v>
      </c>
      <c r="I244" s="6">
        <f>DAYS(C244,Context!$C$19)</f>
        <v>2501</v>
      </c>
      <c r="J244" s="10">
        <f>ACCRINT(L244,K244,Context!$C$19,F244/100,100,2,1)</f>
        <v>0.6799450549</v>
      </c>
      <c r="K244" s="11">
        <f>COUPNCD(Context!$C$19,C244,2,1)</f>
        <v>45838</v>
      </c>
      <c r="L244" s="11">
        <f>COUPPCD(Context!$C$19,C244,2,1)</f>
        <v>45657</v>
      </c>
      <c r="M244" s="9">
        <f t="shared" si="2"/>
        <v>101.8674451</v>
      </c>
      <c r="N244" s="6">
        <f>(C244-Context!$C$19)/365.25</f>
        <v>6.847364819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 t="s">
        <v>15</v>
      </c>
      <c r="B245" s="7" t="s">
        <v>168</v>
      </c>
      <c r="C245" s="8" t="s">
        <v>311</v>
      </c>
      <c r="D245" s="6">
        <v>100.4375</v>
      </c>
      <c r="E245" s="6">
        <v>100.453125</v>
      </c>
      <c r="F245" s="6">
        <v>4.375</v>
      </c>
      <c r="G245" s="6" t="s">
        <v>18</v>
      </c>
      <c r="H245" s="9">
        <f t="shared" si="1"/>
        <v>100.4453125</v>
      </c>
      <c r="I245" s="6">
        <f>DAYS(C245,Context!$C$19)</f>
        <v>2532</v>
      </c>
      <c r="J245" s="10">
        <f>ACCRINT(L245,K245,Context!$C$19,F245/100,100,2,1)</f>
        <v>0.2900552486</v>
      </c>
      <c r="K245" s="11">
        <f>COUPNCD(Context!$C$19,C245,2,1)</f>
        <v>45869</v>
      </c>
      <c r="L245" s="11">
        <f>COUPPCD(Context!$C$19,C245,2,1)</f>
        <v>45688</v>
      </c>
      <c r="M245" s="9">
        <f t="shared" si="2"/>
        <v>100.7353677</v>
      </c>
      <c r="N245" s="6">
        <f>(C245-Context!$C$19)/365.25</f>
        <v>6.932238193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 t="s">
        <v>15</v>
      </c>
      <c r="B246" s="7" t="s">
        <v>312</v>
      </c>
      <c r="C246" s="8" t="s">
        <v>313</v>
      </c>
      <c r="D246" s="6">
        <v>85.421875</v>
      </c>
      <c r="E246" s="6">
        <v>85.46875</v>
      </c>
      <c r="F246" s="6">
        <v>1.875</v>
      </c>
      <c r="G246" s="6" t="s">
        <v>18</v>
      </c>
      <c r="H246" s="9">
        <f t="shared" si="1"/>
        <v>85.4453125</v>
      </c>
      <c r="I246" s="6">
        <f>DAYS(C246,Context!$C$19)</f>
        <v>2547</v>
      </c>
      <c r="J246" s="10">
        <f>ACCRINT(L246,K246,Context!$C$19,F246/100,100,2,1)</f>
        <v>0.0466160221</v>
      </c>
      <c r="K246" s="11">
        <f>COUPNCD(Context!$C$19,C246,2,1)</f>
        <v>45884</v>
      </c>
      <c r="L246" s="11">
        <f>COUPPCD(Context!$C$19,C246,2,1)</f>
        <v>45703</v>
      </c>
      <c r="M246" s="9">
        <f t="shared" si="2"/>
        <v>85.49192852</v>
      </c>
      <c r="N246" s="6">
        <f>(C246-Context!$C$19)/365.25</f>
        <v>6.973305955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 t="s">
        <v>15</v>
      </c>
      <c r="B247" s="7" t="s">
        <v>35</v>
      </c>
      <c r="C247" s="8" t="s">
        <v>314</v>
      </c>
      <c r="D247" s="6">
        <v>91.125</v>
      </c>
      <c r="E247" s="6">
        <v>91.15625</v>
      </c>
      <c r="F247" s="6">
        <v>2.875</v>
      </c>
      <c r="G247" s="6" t="s">
        <v>18</v>
      </c>
      <c r="H247" s="9">
        <f t="shared" si="1"/>
        <v>91.140625</v>
      </c>
      <c r="I247" s="6">
        <f>DAYS(C247,Context!$C$19)</f>
        <v>2637</v>
      </c>
      <c r="J247" s="10">
        <f>ACCRINT(L247,K247,Context!$C$19,F247/100,100,2,1)</f>
        <v>0.802140884</v>
      </c>
      <c r="K247" s="11">
        <f>COUPNCD(Context!$C$19,C247,2,1)</f>
        <v>45792</v>
      </c>
      <c r="L247" s="11">
        <f>COUPPCD(Context!$C$19,C247,2,1)</f>
        <v>45611</v>
      </c>
      <c r="M247" s="9">
        <f t="shared" si="2"/>
        <v>91.94276588</v>
      </c>
      <c r="N247" s="6">
        <f>(C247-Context!$C$19)/365.25</f>
        <v>7.219712526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 t="s">
        <v>15</v>
      </c>
      <c r="B248" s="7" t="s">
        <v>54</v>
      </c>
      <c r="C248" s="8" t="s">
        <v>315</v>
      </c>
      <c r="D248" s="6">
        <v>90.03125</v>
      </c>
      <c r="E248" s="6">
        <v>90.078125</v>
      </c>
      <c r="F248" s="6">
        <v>2.75</v>
      </c>
      <c r="G248" s="6" t="s">
        <v>18</v>
      </c>
      <c r="H248" s="9">
        <f t="shared" si="1"/>
        <v>90.0546875</v>
      </c>
      <c r="I248" s="6">
        <f>DAYS(C248,Context!$C$19)</f>
        <v>2729</v>
      </c>
      <c r="J248" s="10">
        <f>ACCRINT(L248,K248,Context!$C$19,F248/100,100,2,1)</f>
        <v>0.06837016575</v>
      </c>
      <c r="K248" s="11">
        <f>COUPNCD(Context!$C$19,C248,2,1)</f>
        <v>45884</v>
      </c>
      <c r="L248" s="11">
        <f>COUPPCD(Context!$C$19,C248,2,1)</f>
        <v>45703</v>
      </c>
      <c r="M248" s="9">
        <f t="shared" si="2"/>
        <v>90.12305767</v>
      </c>
      <c r="N248" s="6">
        <f>(C248-Context!$C$19)/365.25</f>
        <v>7.471594798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 t="s">
        <v>15</v>
      </c>
      <c r="B249" s="7" t="s">
        <v>72</v>
      </c>
      <c r="C249" s="8" t="s">
        <v>316</v>
      </c>
      <c r="D249" s="6">
        <v>98.75</v>
      </c>
      <c r="E249" s="6">
        <v>98.78125</v>
      </c>
      <c r="F249" s="6">
        <v>4.125</v>
      </c>
      <c r="G249" s="6" t="s">
        <v>18</v>
      </c>
      <c r="H249" s="9">
        <f t="shared" si="1"/>
        <v>98.765625</v>
      </c>
      <c r="I249" s="6">
        <f>DAYS(C249,Context!$C$19)</f>
        <v>2821</v>
      </c>
      <c r="J249" s="10">
        <f>ACCRINT(L249,K249,Context!$C$19,F249/100,100,2,1)</f>
        <v>1.15089779</v>
      </c>
      <c r="K249" s="11">
        <f>COUPNCD(Context!$C$19,C249,2,1)</f>
        <v>45792</v>
      </c>
      <c r="L249" s="11">
        <f>COUPPCD(Context!$C$19,C249,2,1)</f>
        <v>45611</v>
      </c>
      <c r="M249" s="9">
        <f t="shared" si="2"/>
        <v>99.91652279</v>
      </c>
      <c r="N249" s="6">
        <f>(C249-Context!$C$19)/365.25</f>
        <v>7.72347707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 t="s">
        <v>15</v>
      </c>
      <c r="B250" s="7" t="s">
        <v>93</v>
      </c>
      <c r="C250" s="8" t="s">
        <v>317</v>
      </c>
      <c r="D250" s="6">
        <v>94.40625</v>
      </c>
      <c r="E250" s="6">
        <v>94.421875</v>
      </c>
      <c r="F250" s="6">
        <v>3.5</v>
      </c>
      <c r="G250" s="6" t="s">
        <v>18</v>
      </c>
      <c r="H250" s="9">
        <f t="shared" si="1"/>
        <v>94.4140625</v>
      </c>
      <c r="I250" s="6">
        <f>DAYS(C250,Context!$C$19)</f>
        <v>2913</v>
      </c>
      <c r="J250" s="10">
        <f>ACCRINT(L250,K250,Context!$C$19,F250/100,100,2,1)</f>
        <v>0.08701657459</v>
      </c>
      <c r="K250" s="11">
        <f>COUPNCD(Context!$C$19,C250,2,1)</f>
        <v>45884</v>
      </c>
      <c r="L250" s="11">
        <f>COUPPCD(Context!$C$19,C250,2,1)</f>
        <v>45703</v>
      </c>
      <c r="M250" s="9">
        <f t="shared" si="2"/>
        <v>94.50107907</v>
      </c>
      <c r="N250" s="6">
        <f>(C250-Context!$C$19)/365.25</f>
        <v>7.975359343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 t="s">
        <v>15</v>
      </c>
      <c r="B251" s="7" t="s">
        <v>111</v>
      </c>
      <c r="C251" s="8" t="s">
        <v>318</v>
      </c>
      <c r="D251" s="6">
        <v>93.34375</v>
      </c>
      <c r="E251" s="6">
        <v>93.375</v>
      </c>
      <c r="F251" s="6">
        <v>3.375</v>
      </c>
      <c r="G251" s="6" t="s">
        <v>18</v>
      </c>
      <c r="H251" s="9">
        <f t="shared" si="1"/>
        <v>93.359375</v>
      </c>
      <c r="I251" s="6">
        <f>DAYS(C251,Context!$C$19)</f>
        <v>3002</v>
      </c>
      <c r="J251" s="10">
        <f>ACCRINT(L251,K251,Context!$C$19,F251/100,100,2,1)</f>
        <v>0.9416436464</v>
      </c>
      <c r="K251" s="11">
        <f>COUPNCD(Context!$C$19,C251,2,1)</f>
        <v>45792</v>
      </c>
      <c r="L251" s="11">
        <f>COUPPCD(Context!$C$19,C251,2,1)</f>
        <v>45611</v>
      </c>
      <c r="M251" s="9">
        <f t="shared" si="2"/>
        <v>94.30101865</v>
      </c>
      <c r="N251" s="6">
        <f>(C251-Context!$C$19)/365.25</f>
        <v>8.219028063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 t="s">
        <v>15</v>
      </c>
      <c r="B252" s="7" t="s">
        <v>133</v>
      </c>
      <c r="C252" s="8" t="s">
        <v>319</v>
      </c>
      <c r="D252" s="6">
        <v>96.625</v>
      </c>
      <c r="E252" s="6">
        <v>96.671875</v>
      </c>
      <c r="F252" s="6">
        <v>3.875</v>
      </c>
      <c r="G252" s="6" t="s">
        <v>18</v>
      </c>
      <c r="H252" s="9">
        <f t="shared" si="1"/>
        <v>96.6484375</v>
      </c>
      <c r="I252" s="6">
        <f>DAYS(C252,Context!$C$19)</f>
        <v>3094</v>
      </c>
      <c r="J252" s="10">
        <f>ACCRINT(L252,K252,Context!$C$19,F252/100,100,2,1)</f>
        <v>0.09633977901</v>
      </c>
      <c r="K252" s="11">
        <f>COUPNCD(Context!$C$19,C252,2,1)</f>
        <v>45884</v>
      </c>
      <c r="L252" s="11">
        <f>COUPPCD(Context!$C$19,C252,2,1)</f>
        <v>45703</v>
      </c>
      <c r="M252" s="9">
        <f t="shared" si="2"/>
        <v>96.74477728</v>
      </c>
      <c r="N252" s="6">
        <f>(C252-Context!$C$19)/365.25</f>
        <v>8.470910335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 t="s">
        <v>15</v>
      </c>
      <c r="B253" s="7" t="s">
        <v>153</v>
      </c>
      <c r="C253" s="8" t="s">
        <v>320</v>
      </c>
      <c r="D253" s="6">
        <v>101.0</v>
      </c>
      <c r="E253" s="6">
        <v>101.046875</v>
      </c>
      <c r="F253" s="6">
        <v>4.5</v>
      </c>
      <c r="G253" s="6" t="s">
        <v>18</v>
      </c>
      <c r="H253" s="9">
        <f t="shared" si="1"/>
        <v>101.0234375</v>
      </c>
      <c r="I253" s="6">
        <f>DAYS(C253,Context!$C$19)</f>
        <v>3186</v>
      </c>
      <c r="J253" s="10">
        <f>ACCRINT(L253,K253,Context!$C$19,F253/100,100,2,1)</f>
        <v>1.255524862</v>
      </c>
      <c r="K253" s="11">
        <f>COUPNCD(Context!$C$19,C253,2,1)</f>
        <v>45792</v>
      </c>
      <c r="L253" s="11">
        <f>COUPPCD(Context!$C$19,C253,2,1)</f>
        <v>45611</v>
      </c>
      <c r="M253" s="9">
        <f t="shared" si="2"/>
        <v>102.2789624</v>
      </c>
      <c r="N253" s="6">
        <f>(C253-Context!$C$19)/365.25</f>
        <v>8.722792608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 t="s">
        <v>15</v>
      </c>
      <c r="B254" s="7" t="s">
        <v>171</v>
      </c>
      <c r="C254" s="8" t="s">
        <v>321</v>
      </c>
      <c r="D254" s="6">
        <v>97.28125</v>
      </c>
      <c r="E254" s="6">
        <v>97.3125</v>
      </c>
      <c r="F254" s="6">
        <v>4.0</v>
      </c>
      <c r="G254" s="6" t="s">
        <v>18</v>
      </c>
      <c r="H254" s="9">
        <f t="shared" si="1"/>
        <v>97.296875</v>
      </c>
      <c r="I254" s="6">
        <f>DAYS(C254,Context!$C$19)</f>
        <v>3278</v>
      </c>
      <c r="J254" s="10">
        <f>ACCRINT(L254,K254,Context!$C$19,F254/100,100,2,1)</f>
        <v>0.09944751381</v>
      </c>
      <c r="K254" s="11">
        <f>COUPNCD(Context!$C$19,C254,2,1)</f>
        <v>45884</v>
      </c>
      <c r="L254" s="11">
        <f>COUPPCD(Context!$C$19,C254,2,1)</f>
        <v>45703</v>
      </c>
      <c r="M254" s="9">
        <f t="shared" si="2"/>
        <v>97.39632251</v>
      </c>
      <c r="N254" s="6">
        <f>(C254-Context!$C$19)/365.25</f>
        <v>8.97467488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 t="s">
        <v>15</v>
      </c>
      <c r="B255" s="7" t="s">
        <v>185</v>
      </c>
      <c r="C255" s="8" t="s">
        <v>322</v>
      </c>
      <c r="D255" s="6">
        <v>100.0</v>
      </c>
      <c r="E255" s="6">
        <v>100.03125</v>
      </c>
      <c r="F255" s="6">
        <v>4.375</v>
      </c>
      <c r="G255" s="6" t="s">
        <v>18</v>
      </c>
      <c r="H255" s="9">
        <f t="shared" si="1"/>
        <v>100.015625</v>
      </c>
      <c r="I255" s="6">
        <f>DAYS(C255,Context!$C$19)</f>
        <v>3367</v>
      </c>
      <c r="J255" s="10">
        <f>ACCRINT(L255,K255,Context!$C$19,F255/100,100,2,1)</f>
        <v>1.220649171</v>
      </c>
      <c r="K255" s="11">
        <f>COUPNCD(Context!$C$19,C255,2,1)</f>
        <v>45792</v>
      </c>
      <c r="L255" s="11">
        <f>COUPPCD(Context!$C$19,C255,2,1)</f>
        <v>45611</v>
      </c>
      <c r="M255" s="9">
        <f t="shared" si="2"/>
        <v>101.2362742</v>
      </c>
      <c r="N255" s="6">
        <f>(C255-Context!$C$19)/365.25</f>
        <v>9.2183436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 t="s">
        <v>15</v>
      </c>
      <c r="B256" s="7" t="s">
        <v>199</v>
      </c>
      <c r="C256" s="8" t="s">
        <v>323</v>
      </c>
      <c r="D256" s="6">
        <v>96.140625</v>
      </c>
      <c r="E256" s="6">
        <v>96.15625</v>
      </c>
      <c r="F256" s="6">
        <v>3.875</v>
      </c>
      <c r="G256" s="6" t="s">
        <v>18</v>
      </c>
      <c r="H256" s="9">
        <f t="shared" si="1"/>
        <v>96.1484375</v>
      </c>
      <c r="I256" s="6">
        <f>DAYS(C256,Context!$C$19)</f>
        <v>3459</v>
      </c>
      <c r="J256" s="10">
        <f>ACCRINT(L256,K256,Context!$C$19,F256/100,100,2,1)</f>
        <v>0.09633977901</v>
      </c>
      <c r="K256" s="11">
        <f>COUPNCD(Context!$C$19,C256,2,1)</f>
        <v>45884</v>
      </c>
      <c r="L256" s="11">
        <f>COUPPCD(Context!$C$19,C256,2,1)</f>
        <v>45703</v>
      </c>
      <c r="M256" s="9">
        <f t="shared" si="2"/>
        <v>96.24477728</v>
      </c>
      <c r="N256" s="6">
        <f>(C256-Context!$C$19)/365.25</f>
        <v>9.470225873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 t="s">
        <v>15</v>
      </c>
      <c r="B257" s="7" t="s">
        <v>212</v>
      </c>
      <c r="C257" s="8" t="s">
        <v>324</v>
      </c>
      <c r="D257" s="6">
        <v>98.9375</v>
      </c>
      <c r="E257" s="6">
        <v>98.96875</v>
      </c>
      <c r="F257" s="6">
        <v>4.25</v>
      </c>
      <c r="G257" s="6" t="s">
        <v>18</v>
      </c>
      <c r="H257" s="9">
        <f t="shared" si="1"/>
        <v>98.953125</v>
      </c>
      <c r="I257" s="6">
        <f>DAYS(C257,Context!$C$19)</f>
        <v>3551</v>
      </c>
      <c r="J257" s="10">
        <f>ACCRINT(L257,K257,Context!$C$19,F257/100,100,2,1)</f>
        <v>1.185773481</v>
      </c>
      <c r="K257" s="11">
        <f>COUPNCD(Context!$C$19,C257,2,1)</f>
        <v>45792</v>
      </c>
      <c r="L257" s="11">
        <f>COUPPCD(Context!$C$19,C257,2,1)</f>
        <v>45611</v>
      </c>
      <c r="M257" s="9">
        <f t="shared" si="2"/>
        <v>100.1388985</v>
      </c>
      <c r="N257" s="6">
        <f>(C257-Context!$C$19)/365.25</f>
        <v>9.722108145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 t="s">
        <v>15</v>
      </c>
      <c r="B258" s="7" t="s">
        <v>226</v>
      </c>
      <c r="C258" s="8" t="s">
        <v>325</v>
      </c>
      <c r="D258" s="6">
        <v>101.953125</v>
      </c>
      <c r="E258" s="6">
        <v>101.96875</v>
      </c>
      <c r="F258" s="6">
        <v>4.625</v>
      </c>
      <c r="G258" s="6" t="s">
        <v>18</v>
      </c>
      <c r="H258" s="9">
        <f t="shared" si="1"/>
        <v>101.9609375</v>
      </c>
      <c r="I258" s="6">
        <f>DAYS(C258,Context!$C$19)</f>
        <v>3643</v>
      </c>
      <c r="J258" s="10">
        <f>ACCRINT(L258,K258,Context!$C$19,F258/100,100,2,1)</f>
        <v>0.1149861878</v>
      </c>
      <c r="K258" s="11">
        <f>COUPNCD(Context!$C$19,C258,2,1)</f>
        <v>45884</v>
      </c>
      <c r="L258" s="11">
        <f>COUPPCD(Context!$C$19,C258,2,1)</f>
        <v>45703</v>
      </c>
      <c r="M258" s="9">
        <f t="shared" si="2"/>
        <v>102.0759237</v>
      </c>
      <c r="N258" s="6">
        <f>(C258-Context!$C$19)/365.25</f>
        <v>9.973990418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 t="s">
        <v>15</v>
      </c>
      <c r="B259" s="7" t="s">
        <v>326</v>
      </c>
      <c r="C259" s="8" t="s">
        <v>327</v>
      </c>
      <c r="D259" s="6">
        <v>101.546875</v>
      </c>
      <c r="E259" s="6">
        <v>101.921875</v>
      </c>
      <c r="F259" s="6">
        <v>4.5</v>
      </c>
      <c r="G259" s="6" t="s">
        <v>18</v>
      </c>
      <c r="H259" s="9">
        <f t="shared" si="1"/>
        <v>101.734375</v>
      </c>
      <c r="I259" s="6">
        <f>DAYS(C259,Context!$C$19)</f>
        <v>4008</v>
      </c>
      <c r="J259" s="10">
        <f>ACCRINT(L259,K259,Context!$C$19,F259/100,100,2,1)</f>
        <v>0.111878453</v>
      </c>
      <c r="K259" s="11">
        <f>COUPNCD(Context!$C$19,C259,2,1)</f>
        <v>45884</v>
      </c>
      <c r="L259" s="11">
        <f>COUPPCD(Context!$C$19,C259,2,1)</f>
        <v>45703</v>
      </c>
      <c r="M259" s="9">
        <f t="shared" si="2"/>
        <v>101.8462535</v>
      </c>
      <c r="N259" s="6">
        <f>(C259-Context!$C$19)/365.25</f>
        <v>10.97330595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 t="s">
        <v>15</v>
      </c>
      <c r="B260" s="7" t="s">
        <v>328</v>
      </c>
      <c r="C260" s="8" t="s">
        <v>329</v>
      </c>
      <c r="D260" s="6">
        <v>103.484375</v>
      </c>
      <c r="E260" s="6">
        <v>103.6875</v>
      </c>
      <c r="F260" s="6">
        <v>4.75</v>
      </c>
      <c r="G260" s="6" t="s">
        <v>18</v>
      </c>
      <c r="H260" s="9">
        <f t="shared" si="1"/>
        <v>103.5859375</v>
      </c>
      <c r="I260" s="6">
        <f>DAYS(C260,Context!$C$19)</f>
        <v>4374</v>
      </c>
      <c r="J260" s="10">
        <f>ACCRINT(L260,K260,Context!$C$19,F260/100,100,2,1)</f>
        <v>0.1180939227</v>
      </c>
      <c r="K260" s="11">
        <f>COUPNCD(Context!$C$19,C260,2,1)</f>
        <v>45884</v>
      </c>
      <c r="L260" s="11">
        <f>COUPPCD(Context!$C$19,C260,2,1)</f>
        <v>45703</v>
      </c>
      <c r="M260" s="9">
        <f t="shared" si="2"/>
        <v>103.7040314</v>
      </c>
      <c r="N260" s="6">
        <f>(C260-Context!$C$19)/365.25</f>
        <v>11.97535934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 t="s">
        <v>15</v>
      </c>
      <c r="B261" s="7" t="s">
        <v>330</v>
      </c>
      <c r="C261" s="8" t="s">
        <v>331</v>
      </c>
      <c r="D261" s="6">
        <v>105.640625</v>
      </c>
      <c r="E261" s="6">
        <v>105.828125</v>
      </c>
      <c r="F261" s="6">
        <v>5.0</v>
      </c>
      <c r="G261" s="6" t="s">
        <v>18</v>
      </c>
      <c r="H261" s="9">
        <f t="shared" si="1"/>
        <v>105.734375</v>
      </c>
      <c r="I261" s="6">
        <f>DAYS(C261,Context!$C$19)</f>
        <v>4463</v>
      </c>
      <c r="J261" s="10">
        <f>ACCRINT(L261,K261,Context!$C$19,F261/100,100,2,1)</f>
        <v>1.395027624</v>
      </c>
      <c r="K261" s="11">
        <f>COUPNCD(Context!$C$19,C261,2,1)</f>
        <v>45792</v>
      </c>
      <c r="L261" s="11">
        <f>COUPPCD(Context!$C$19,C261,2,1)</f>
        <v>45611</v>
      </c>
      <c r="M261" s="9">
        <f t="shared" si="2"/>
        <v>107.1294026</v>
      </c>
      <c r="N261" s="6">
        <f>(C261-Context!$C$19)/365.25</f>
        <v>12.21902806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 t="s">
        <v>15</v>
      </c>
      <c r="B262" s="7" t="s">
        <v>332</v>
      </c>
      <c r="C262" s="8" t="s">
        <v>333</v>
      </c>
      <c r="D262" s="6">
        <v>99.296875</v>
      </c>
      <c r="E262" s="6">
        <v>99.515625</v>
      </c>
      <c r="F262" s="6">
        <v>4.375</v>
      </c>
      <c r="G262" s="6" t="s">
        <v>18</v>
      </c>
      <c r="H262" s="9">
        <f t="shared" si="1"/>
        <v>99.40625</v>
      </c>
      <c r="I262" s="6">
        <f>DAYS(C262,Context!$C$19)</f>
        <v>4739</v>
      </c>
      <c r="J262" s="10">
        <f>ACCRINT(L262,K262,Context!$C$19,F262/100,100,2,1)</f>
        <v>0.1087707182</v>
      </c>
      <c r="K262" s="11">
        <f>COUPNCD(Context!$C$19,C262,2,1)</f>
        <v>45884</v>
      </c>
      <c r="L262" s="11">
        <f>COUPPCD(Context!$C$19,C262,2,1)</f>
        <v>45703</v>
      </c>
      <c r="M262" s="9">
        <f t="shared" si="2"/>
        <v>99.51502072</v>
      </c>
      <c r="N262" s="6">
        <f>(C262-Context!$C$19)/365.25</f>
        <v>12.97467488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 t="s">
        <v>15</v>
      </c>
      <c r="B263" s="7" t="s">
        <v>334</v>
      </c>
      <c r="C263" s="8" t="s">
        <v>335</v>
      </c>
      <c r="D263" s="6">
        <v>100.5</v>
      </c>
      <c r="E263" s="6">
        <v>100.75</v>
      </c>
      <c r="F263" s="6">
        <v>4.5</v>
      </c>
      <c r="G263" s="6" t="s">
        <v>18</v>
      </c>
      <c r="H263" s="9">
        <f t="shared" si="1"/>
        <v>100.625</v>
      </c>
      <c r="I263" s="6">
        <f>DAYS(C263,Context!$C$19)</f>
        <v>4828</v>
      </c>
      <c r="J263" s="10">
        <f>ACCRINT(L263,K263,Context!$C$19,F263/100,100,2,1)</f>
        <v>1.255524862</v>
      </c>
      <c r="K263" s="11">
        <f>COUPNCD(Context!$C$19,C263,2,1)</f>
        <v>45792</v>
      </c>
      <c r="L263" s="11">
        <f>COUPPCD(Context!$C$19,C263,2,1)</f>
        <v>45611</v>
      </c>
      <c r="M263" s="9">
        <f t="shared" si="2"/>
        <v>101.8805249</v>
      </c>
      <c r="N263" s="6">
        <f>(C263-Context!$C$19)/365.25</f>
        <v>13.2183436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 t="s">
        <v>15</v>
      </c>
      <c r="B264" s="7" t="s">
        <v>336</v>
      </c>
      <c r="C264" s="8" t="s">
        <v>337</v>
      </c>
      <c r="D264" s="6">
        <v>89.84375</v>
      </c>
      <c r="E264" s="6">
        <v>90.0625</v>
      </c>
      <c r="F264" s="6">
        <v>3.5</v>
      </c>
      <c r="G264" s="6" t="s">
        <v>18</v>
      </c>
      <c r="H264" s="9">
        <f t="shared" si="1"/>
        <v>89.953125</v>
      </c>
      <c r="I264" s="6">
        <f>DAYS(C264,Context!$C$19)</f>
        <v>5104</v>
      </c>
      <c r="J264" s="10">
        <f>ACCRINT(L264,K264,Context!$C$19,F264/100,100,2,1)</f>
        <v>0.08701657459</v>
      </c>
      <c r="K264" s="11">
        <f>COUPNCD(Context!$C$19,C264,2,1)</f>
        <v>45884</v>
      </c>
      <c r="L264" s="11">
        <f>COUPPCD(Context!$C$19,C264,2,1)</f>
        <v>45703</v>
      </c>
      <c r="M264" s="9">
        <f t="shared" si="2"/>
        <v>90.04014157</v>
      </c>
      <c r="N264" s="6">
        <f>(C264-Context!$C$19)/365.25</f>
        <v>13.97399042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 t="s">
        <v>15</v>
      </c>
      <c r="B265" s="7" t="s">
        <v>338</v>
      </c>
      <c r="C265" s="8" t="s">
        <v>339</v>
      </c>
      <c r="D265" s="6">
        <v>97.109375</v>
      </c>
      <c r="E265" s="6">
        <v>97.34375</v>
      </c>
      <c r="F265" s="6">
        <v>4.25</v>
      </c>
      <c r="G265" s="6" t="s">
        <v>18</v>
      </c>
      <c r="H265" s="9">
        <f t="shared" si="1"/>
        <v>97.2265625</v>
      </c>
      <c r="I265" s="6">
        <f>DAYS(C265,Context!$C$19)</f>
        <v>5193</v>
      </c>
      <c r="J265" s="10">
        <f>ACCRINT(L265,K265,Context!$C$19,F265/100,100,2,1)</f>
        <v>1.185773481</v>
      </c>
      <c r="K265" s="11">
        <f>COUPNCD(Context!$C$19,C265,2,1)</f>
        <v>45792</v>
      </c>
      <c r="L265" s="11">
        <f>COUPPCD(Context!$C$19,C265,2,1)</f>
        <v>45611</v>
      </c>
      <c r="M265" s="9">
        <f t="shared" si="2"/>
        <v>98.41233598</v>
      </c>
      <c r="N265" s="6">
        <f>(C265-Context!$C$19)/365.25</f>
        <v>14.21765914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 t="s">
        <v>15</v>
      </c>
      <c r="B266" s="7" t="s">
        <v>340</v>
      </c>
      <c r="C266" s="8" t="s">
        <v>341</v>
      </c>
      <c r="D266" s="6">
        <v>99.609375</v>
      </c>
      <c r="E266" s="6">
        <v>99.78125</v>
      </c>
      <c r="F266" s="6">
        <v>4.5</v>
      </c>
      <c r="G266" s="6" t="s">
        <v>18</v>
      </c>
      <c r="H266" s="9">
        <f t="shared" si="1"/>
        <v>99.6953125</v>
      </c>
      <c r="I266" s="6">
        <f>DAYS(C266,Context!$C$19)</f>
        <v>5285</v>
      </c>
      <c r="J266" s="10">
        <f>ACCRINT(L266,K266,Context!$C$19,F266/100,100,2,1)</f>
        <v>0.111878453</v>
      </c>
      <c r="K266" s="11">
        <f>COUPNCD(Context!$C$19,C266,2,1)</f>
        <v>45884</v>
      </c>
      <c r="L266" s="11">
        <f>COUPPCD(Context!$C$19,C266,2,1)</f>
        <v>45703</v>
      </c>
      <c r="M266" s="9">
        <f t="shared" si="2"/>
        <v>99.80719095</v>
      </c>
      <c r="N266" s="6">
        <f>(C266-Context!$C$19)/365.25</f>
        <v>14.46954141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 t="s">
        <v>15</v>
      </c>
      <c r="B267" s="7" t="s">
        <v>342</v>
      </c>
      <c r="C267" s="8" t="s">
        <v>343</v>
      </c>
      <c r="D267" s="6">
        <v>98.171875</v>
      </c>
      <c r="E267" s="6">
        <v>98.359375</v>
      </c>
      <c r="F267" s="6">
        <v>4.375</v>
      </c>
      <c r="G267" s="6" t="s">
        <v>18</v>
      </c>
      <c r="H267" s="9">
        <f t="shared" si="1"/>
        <v>98.265625</v>
      </c>
      <c r="I267" s="6">
        <f>DAYS(C267,Context!$C$19)</f>
        <v>5377</v>
      </c>
      <c r="J267" s="10">
        <f>ACCRINT(L267,K267,Context!$C$19,F267/100,100,2,1)</f>
        <v>1.220649171</v>
      </c>
      <c r="K267" s="11">
        <f>COUPNCD(Context!$C$19,C267,2,1)</f>
        <v>45792</v>
      </c>
      <c r="L267" s="11">
        <f>COUPPCD(Context!$C$19,C267,2,1)</f>
        <v>45611</v>
      </c>
      <c r="M267" s="9">
        <f t="shared" si="2"/>
        <v>99.48627417</v>
      </c>
      <c r="N267" s="6">
        <f>(C267-Context!$C$19)/365.25</f>
        <v>14.72142368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 t="s">
        <v>15</v>
      </c>
      <c r="B268" s="7" t="s">
        <v>344</v>
      </c>
      <c r="C268" s="8" t="s">
        <v>345</v>
      </c>
      <c r="D268" s="6">
        <v>100.75</v>
      </c>
      <c r="E268" s="6">
        <v>100.953125</v>
      </c>
      <c r="F268" s="6">
        <v>4.625</v>
      </c>
      <c r="G268" s="6" t="s">
        <v>18</v>
      </c>
      <c r="H268" s="9">
        <f t="shared" si="1"/>
        <v>100.8515625</v>
      </c>
      <c r="I268" s="6">
        <f>DAYS(C268,Context!$C$19)</f>
        <v>5469</v>
      </c>
      <c r="J268" s="10">
        <f>ACCRINT(L268,K268,Context!$C$19,F268/100,100,2,1)</f>
        <v>0.1149861878</v>
      </c>
      <c r="K268" s="11">
        <f>COUPNCD(Context!$C$19,C268,2,1)</f>
        <v>45884</v>
      </c>
      <c r="L268" s="11">
        <f>COUPPCD(Context!$C$19,C268,2,1)</f>
        <v>45703</v>
      </c>
      <c r="M268" s="9">
        <f t="shared" si="2"/>
        <v>100.9665487</v>
      </c>
      <c r="N268" s="6">
        <f>(C268-Context!$C$19)/365.25</f>
        <v>14.97330595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 t="s">
        <v>15</v>
      </c>
      <c r="B269" s="7" t="s">
        <v>346</v>
      </c>
      <c r="C269" s="8" t="s">
        <v>347</v>
      </c>
      <c r="D269" s="6">
        <v>97.921875</v>
      </c>
      <c r="E269" s="6">
        <v>98.109375</v>
      </c>
      <c r="F269" s="6">
        <v>4.375</v>
      </c>
      <c r="G269" s="6" t="s">
        <v>18</v>
      </c>
      <c r="H269" s="9">
        <f t="shared" si="1"/>
        <v>98.015625</v>
      </c>
      <c r="I269" s="6">
        <f>DAYS(C269,Context!$C$19)</f>
        <v>5559</v>
      </c>
      <c r="J269" s="10">
        <f>ACCRINT(L269,K269,Context!$C$19,F269/100,100,2,1)</f>
        <v>1.220649171</v>
      </c>
      <c r="K269" s="11">
        <f>COUPNCD(Context!$C$19,C269,2,1)</f>
        <v>45792</v>
      </c>
      <c r="L269" s="11">
        <f>COUPPCD(Context!$C$19,C269,2,1)</f>
        <v>45611</v>
      </c>
      <c r="M269" s="9">
        <f t="shared" si="2"/>
        <v>99.23627417</v>
      </c>
      <c r="N269" s="6">
        <f>(C269-Context!$C$19)/365.25</f>
        <v>15.21971253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 t="s">
        <v>15</v>
      </c>
      <c r="B270" s="7" t="s">
        <v>39</v>
      </c>
      <c r="C270" s="8" t="s">
        <v>347</v>
      </c>
      <c r="D270" s="6">
        <v>62.15625</v>
      </c>
      <c r="E270" s="6">
        <v>62.328125</v>
      </c>
      <c r="F270" s="6">
        <v>1.125</v>
      </c>
      <c r="G270" s="6" t="s">
        <v>18</v>
      </c>
      <c r="H270" s="9">
        <f t="shared" si="1"/>
        <v>62.2421875</v>
      </c>
      <c r="I270" s="6">
        <f>DAYS(C270,Context!$C$19)</f>
        <v>5559</v>
      </c>
      <c r="J270" s="10">
        <f>ACCRINT(L270,K270,Context!$C$19,F270/100,100,2,1)</f>
        <v>0.3138812155</v>
      </c>
      <c r="K270" s="11">
        <f>COUPNCD(Context!$C$19,C270,2,1)</f>
        <v>45792</v>
      </c>
      <c r="L270" s="11">
        <f>COUPPCD(Context!$C$19,C270,2,1)</f>
        <v>45611</v>
      </c>
      <c r="M270" s="9">
        <f t="shared" si="2"/>
        <v>62.55606872</v>
      </c>
      <c r="N270" s="6">
        <f>(C270-Context!$C$19)/365.25</f>
        <v>15.21971253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 t="s">
        <v>15</v>
      </c>
      <c r="B271" s="7" t="s">
        <v>348</v>
      </c>
      <c r="C271" s="8" t="s">
        <v>349</v>
      </c>
      <c r="D271" s="6">
        <v>92.25</v>
      </c>
      <c r="E271" s="6">
        <v>92.484375</v>
      </c>
      <c r="F271" s="6">
        <v>3.875</v>
      </c>
      <c r="G271" s="6" t="s">
        <v>18</v>
      </c>
      <c r="H271" s="9">
        <f t="shared" si="1"/>
        <v>92.3671875</v>
      </c>
      <c r="I271" s="6">
        <f>DAYS(C271,Context!$C$19)</f>
        <v>5651</v>
      </c>
      <c r="J271" s="10">
        <f>ACCRINT(L271,K271,Context!$C$19,F271/100,100,2,1)</f>
        <v>0.09633977901</v>
      </c>
      <c r="K271" s="11">
        <f>COUPNCD(Context!$C$19,C271,2,1)</f>
        <v>45884</v>
      </c>
      <c r="L271" s="11">
        <f>COUPPCD(Context!$C$19,C271,2,1)</f>
        <v>45703</v>
      </c>
      <c r="M271" s="9">
        <f t="shared" si="2"/>
        <v>92.46352728</v>
      </c>
      <c r="N271" s="6">
        <f>(C271-Context!$C$19)/365.25</f>
        <v>15.4715948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 t="s">
        <v>15</v>
      </c>
      <c r="B272" s="7" t="s">
        <v>58</v>
      </c>
      <c r="C272" s="8" t="s">
        <v>349</v>
      </c>
      <c r="D272" s="6">
        <v>61.5625</v>
      </c>
      <c r="E272" s="6">
        <v>61.75</v>
      </c>
      <c r="F272" s="6">
        <v>1.125</v>
      </c>
      <c r="G272" s="6" t="s">
        <v>18</v>
      </c>
      <c r="H272" s="9">
        <f t="shared" si="1"/>
        <v>61.65625</v>
      </c>
      <c r="I272" s="6">
        <f>DAYS(C272,Context!$C$19)</f>
        <v>5651</v>
      </c>
      <c r="J272" s="10">
        <f>ACCRINT(L272,K272,Context!$C$19,F272/100,100,2,1)</f>
        <v>0.02796961326</v>
      </c>
      <c r="K272" s="11">
        <f>COUPNCD(Context!$C$19,C272,2,1)</f>
        <v>45884</v>
      </c>
      <c r="L272" s="11">
        <f>COUPPCD(Context!$C$19,C272,2,1)</f>
        <v>45703</v>
      </c>
      <c r="M272" s="9">
        <f t="shared" si="2"/>
        <v>61.68421961</v>
      </c>
      <c r="N272" s="6">
        <f>(C272-Context!$C$19)/365.25</f>
        <v>15.4715948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 t="s">
        <v>15</v>
      </c>
      <c r="B273" s="7" t="s">
        <v>350</v>
      </c>
      <c r="C273" s="8" t="s">
        <v>351</v>
      </c>
      <c r="D273" s="6">
        <v>96.265625</v>
      </c>
      <c r="E273" s="6">
        <v>96.46875</v>
      </c>
      <c r="F273" s="6">
        <v>4.25</v>
      </c>
      <c r="G273" s="6" t="s">
        <v>18</v>
      </c>
      <c r="H273" s="9">
        <f t="shared" si="1"/>
        <v>96.3671875</v>
      </c>
      <c r="I273" s="6">
        <f>DAYS(C273,Context!$C$19)</f>
        <v>5743</v>
      </c>
      <c r="J273" s="10">
        <f>ACCRINT(L273,K273,Context!$C$19,F273/100,100,2,1)</f>
        <v>1.185773481</v>
      </c>
      <c r="K273" s="11">
        <f>COUPNCD(Context!$C$19,C273,2,1)</f>
        <v>45792</v>
      </c>
      <c r="L273" s="11">
        <f>COUPPCD(Context!$C$19,C273,2,1)</f>
        <v>45611</v>
      </c>
      <c r="M273" s="9">
        <f t="shared" si="2"/>
        <v>97.55296098</v>
      </c>
      <c r="N273" s="6">
        <f>(C273-Context!$C$19)/365.25</f>
        <v>15.72347707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 t="s">
        <v>15</v>
      </c>
      <c r="B274" s="7" t="s">
        <v>77</v>
      </c>
      <c r="C274" s="8" t="s">
        <v>351</v>
      </c>
      <c r="D274" s="6">
        <v>63.8125</v>
      </c>
      <c r="E274" s="6">
        <v>63.96875</v>
      </c>
      <c r="F274" s="6">
        <v>1.375</v>
      </c>
      <c r="G274" s="6" t="s">
        <v>18</v>
      </c>
      <c r="H274" s="9">
        <f t="shared" si="1"/>
        <v>63.890625</v>
      </c>
      <c r="I274" s="6">
        <f>DAYS(C274,Context!$C$19)</f>
        <v>5743</v>
      </c>
      <c r="J274" s="10">
        <f>ACCRINT(L274,K274,Context!$C$19,F274/100,100,2,1)</f>
        <v>0.3836325967</v>
      </c>
      <c r="K274" s="11">
        <f>COUPNCD(Context!$C$19,C274,2,1)</f>
        <v>45792</v>
      </c>
      <c r="L274" s="11">
        <f>COUPPCD(Context!$C$19,C274,2,1)</f>
        <v>45611</v>
      </c>
      <c r="M274" s="9">
        <f t="shared" si="2"/>
        <v>64.2742576</v>
      </c>
      <c r="N274" s="6">
        <f>(C274-Context!$C$19)/365.25</f>
        <v>15.72347707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 t="s">
        <v>15</v>
      </c>
      <c r="B275" s="7" t="s">
        <v>352</v>
      </c>
      <c r="C275" s="8" t="s">
        <v>353</v>
      </c>
      <c r="D275" s="6">
        <v>101.84375</v>
      </c>
      <c r="E275" s="6">
        <v>102.0625</v>
      </c>
      <c r="F275" s="6">
        <v>4.75</v>
      </c>
      <c r="G275" s="6" t="s">
        <v>18</v>
      </c>
      <c r="H275" s="9">
        <f t="shared" si="1"/>
        <v>101.953125</v>
      </c>
      <c r="I275" s="6">
        <f>DAYS(C275,Context!$C$19)</f>
        <v>5835</v>
      </c>
      <c r="J275" s="10">
        <f>ACCRINT(L275,K275,Context!$C$19,F275/100,100,2,1)</f>
        <v>0.1180939227</v>
      </c>
      <c r="K275" s="11">
        <f>COUPNCD(Context!$C$19,C275,2,1)</f>
        <v>45884</v>
      </c>
      <c r="L275" s="11">
        <f>COUPPCD(Context!$C$19,C275,2,1)</f>
        <v>45703</v>
      </c>
      <c r="M275" s="9">
        <f t="shared" si="2"/>
        <v>102.0712189</v>
      </c>
      <c r="N275" s="6">
        <f>(C275-Context!$C$19)/365.25</f>
        <v>15.97535934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 t="s">
        <v>15</v>
      </c>
      <c r="B276" s="7" t="s">
        <v>98</v>
      </c>
      <c r="C276" s="8" t="s">
        <v>353</v>
      </c>
      <c r="D276" s="6">
        <v>69.03125</v>
      </c>
      <c r="E276" s="6">
        <v>69.1875</v>
      </c>
      <c r="F276" s="6">
        <v>1.875</v>
      </c>
      <c r="G276" s="6" t="s">
        <v>18</v>
      </c>
      <c r="H276" s="9">
        <f t="shared" si="1"/>
        <v>69.109375</v>
      </c>
      <c r="I276" s="6">
        <f>DAYS(C276,Context!$C$19)</f>
        <v>5835</v>
      </c>
      <c r="J276" s="10">
        <f>ACCRINT(L276,K276,Context!$C$19,F276/100,100,2,1)</f>
        <v>0.0466160221</v>
      </c>
      <c r="K276" s="11">
        <f>COUPNCD(Context!$C$19,C276,2,1)</f>
        <v>45884</v>
      </c>
      <c r="L276" s="11">
        <f>COUPPCD(Context!$C$19,C276,2,1)</f>
        <v>45703</v>
      </c>
      <c r="M276" s="9">
        <f t="shared" si="2"/>
        <v>69.15599102</v>
      </c>
      <c r="N276" s="6">
        <f>(C276-Context!$C$19)/365.25</f>
        <v>15.97535934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 t="s">
        <v>15</v>
      </c>
      <c r="B277" s="7" t="s">
        <v>354</v>
      </c>
      <c r="C277" s="8" t="s">
        <v>355</v>
      </c>
      <c r="D277" s="6">
        <v>97.421875</v>
      </c>
      <c r="E277" s="6">
        <v>97.609375</v>
      </c>
      <c r="F277" s="6">
        <v>4.375</v>
      </c>
      <c r="G277" s="6" t="s">
        <v>18</v>
      </c>
      <c r="H277" s="9">
        <f t="shared" si="1"/>
        <v>97.515625</v>
      </c>
      <c r="I277" s="6">
        <f>DAYS(C277,Context!$C$19)</f>
        <v>5924</v>
      </c>
      <c r="J277" s="10">
        <f>ACCRINT(L277,K277,Context!$C$19,F277/100,100,2,1)</f>
        <v>1.220649171</v>
      </c>
      <c r="K277" s="11">
        <f>COUPNCD(Context!$C$19,C277,2,1)</f>
        <v>45792</v>
      </c>
      <c r="L277" s="11">
        <f>COUPPCD(Context!$C$19,C277,2,1)</f>
        <v>45611</v>
      </c>
      <c r="M277" s="9">
        <f t="shared" si="2"/>
        <v>98.73627417</v>
      </c>
      <c r="N277" s="6">
        <f>(C277-Context!$C$19)/365.25</f>
        <v>16.21902806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 t="s">
        <v>15</v>
      </c>
      <c r="B278" s="7" t="s">
        <v>117</v>
      </c>
      <c r="C278" s="8" t="s">
        <v>355</v>
      </c>
      <c r="D278" s="6">
        <v>72.9375</v>
      </c>
      <c r="E278" s="6">
        <v>73.125</v>
      </c>
      <c r="F278" s="6">
        <v>2.25</v>
      </c>
      <c r="G278" s="6" t="s">
        <v>18</v>
      </c>
      <c r="H278" s="9">
        <f t="shared" si="1"/>
        <v>73.03125</v>
      </c>
      <c r="I278" s="6">
        <f>DAYS(C278,Context!$C$19)</f>
        <v>5924</v>
      </c>
      <c r="J278" s="10">
        <f>ACCRINT(L278,K278,Context!$C$19,F278/100,100,2,1)</f>
        <v>0.6277624309</v>
      </c>
      <c r="K278" s="11">
        <f>COUPNCD(Context!$C$19,C278,2,1)</f>
        <v>45792</v>
      </c>
      <c r="L278" s="11">
        <f>COUPPCD(Context!$C$19,C278,2,1)</f>
        <v>45611</v>
      </c>
      <c r="M278" s="9">
        <f t="shared" si="2"/>
        <v>73.65901243</v>
      </c>
      <c r="N278" s="6">
        <f>(C278-Context!$C$19)/365.25</f>
        <v>16.21902806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 t="s">
        <v>15</v>
      </c>
      <c r="B279" s="7" t="s">
        <v>356</v>
      </c>
      <c r="C279" s="8" t="s">
        <v>357</v>
      </c>
      <c r="D279" s="6">
        <v>90.078125</v>
      </c>
      <c r="E279" s="6">
        <v>90.28125</v>
      </c>
      <c r="F279" s="6">
        <v>3.75</v>
      </c>
      <c r="G279" s="6" t="s">
        <v>18</v>
      </c>
      <c r="H279" s="9">
        <f t="shared" si="1"/>
        <v>90.1796875</v>
      </c>
      <c r="I279" s="6">
        <f>DAYS(C279,Context!$C$19)</f>
        <v>6016</v>
      </c>
      <c r="J279" s="10">
        <f>ACCRINT(L279,K279,Context!$C$19,F279/100,100,2,1)</f>
        <v>0.0932320442</v>
      </c>
      <c r="K279" s="11">
        <f>COUPNCD(Context!$C$19,C279,2,1)</f>
        <v>45884</v>
      </c>
      <c r="L279" s="11">
        <f>COUPPCD(Context!$C$19,C279,2,1)</f>
        <v>45703</v>
      </c>
      <c r="M279" s="9">
        <f t="shared" si="2"/>
        <v>90.27291954</v>
      </c>
      <c r="N279" s="6">
        <f>(C279-Context!$C$19)/365.25</f>
        <v>16.47091034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 t="s">
        <v>15</v>
      </c>
      <c r="B280" s="7" t="s">
        <v>134</v>
      </c>
      <c r="C280" s="8" t="s">
        <v>357</v>
      </c>
      <c r="D280" s="6">
        <v>66.65625</v>
      </c>
      <c r="E280" s="6">
        <v>66.8125</v>
      </c>
      <c r="F280" s="6">
        <v>1.75</v>
      </c>
      <c r="G280" s="6" t="s">
        <v>18</v>
      </c>
      <c r="H280" s="9">
        <f t="shared" si="1"/>
        <v>66.734375</v>
      </c>
      <c r="I280" s="6">
        <f>DAYS(C280,Context!$C$19)</f>
        <v>6016</v>
      </c>
      <c r="J280" s="10">
        <f>ACCRINT(L280,K280,Context!$C$19,F280/100,100,2,1)</f>
        <v>0.04350828729</v>
      </c>
      <c r="K280" s="11">
        <f>COUPNCD(Context!$C$19,C280,2,1)</f>
        <v>45884</v>
      </c>
      <c r="L280" s="11">
        <f>COUPPCD(Context!$C$19,C280,2,1)</f>
        <v>45703</v>
      </c>
      <c r="M280" s="9">
        <f t="shared" si="2"/>
        <v>66.77788329</v>
      </c>
      <c r="N280" s="6">
        <f>(C280-Context!$C$19)/365.25</f>
        <v>16.47091034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 t="s">
        <v>15</v>
      </c>
      <c r="B281" s="7" t="s">
        <v>358</v>
      </c>
      <c r="C281" s="8" t="s">
        <v>359</v>
      </c>
      <c r="D281" s="6">
        <v>82.515625</v>
      </c>
      <c r="E281" s="6">
        <v>82.75</v>
      </c>
      <c r="F281" s="6">
        <v>3.125</v>
      </c>
      <c r="G281" s="6" t="s">
        <v>18</v>
      </c>
      <c r="H281" s="9">
        <f t="shared" si="1"/>
        <v>82.6328125</v>
      </c>
      <c r="I281" s="6">
        <f>DAYS(C281,Context!$C$19)</f>
        <v>6108</v>
      </c>
      <c r="J281" s="10">
        <f>ACCRINT(L281,K281,Context!$C$19,F281/100,100,2,1)</f>
        <v>0.8718922652</v>
      </c>
      <c r="K281" s="11">
        <f>COUPNCD(Context!$C$19,C281,2,1)</f>
        <v>45792</v>
      </c>
      <c r="L281" s="11">
        <f>COUPPCD(Context!$C$19,C281,2,1)</f>
        <v>45611</v>
      </c>
      <c r="M281" s="9">
        <f t="shared" si="2"/>
        <v>83.50470477</v>
      </c>
      <c r="N281" s="6">
        <f>(C281-Context!$C$19)/365.25</f>
        <v>16.72279261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 t="s">
        <v>15</v>
      </c>
      <c r="B282" s="7" t="s">
        <v>154</v>
      </c>
      <c r="C282" s="8" t="s">
        <v>359</v>
      </c>
      <c r="D282" s="6">
        <v>69.140625</v>
      </c>
      <c r="E282" s="6">
        <v>69.28125</v>
      </c>
      <c r="F282" s="6">
        <v>2.0</v>
      </c>
      <c r="G282" s="6" t="s">
        <v>18</v>
      </c>
      <c r="H282" s="9">
        <f t="shared" si="1"/>
        <v>69.2109375</v>
      </c>
      <c r="I282" s="6">
        <f>DAYS(C282,Context!$C$19)</f>
        <v>6108</v>
      </c>
      <c r="J282" s="10">
        <f>ACCRINT(L282,K282,Context!$C$19,F282/100,100,2,1)</f>
        <v>0.5580110497</v>
      </c>
      <c r="K282" s="11">
        <f>COUPNCD(Context!$C$19,C282,2,1)</f>
        <v>45792</v>
      </c>
      <c r="L282" s="11">
        <f>COUPPCD(Context!$C$19,C282,2,1)</f>
        <v>45611</v>
      </c>
      <c r="M282" s="9">
        <f t="shared" si="2"/>
        <v>69.76894855</v>
      </c>
      <c r="N282" s="6">
        <f>(C282-Context!$C$19)/365.25</f>
        <v>16.72279261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 t="s">
        <v>15</v>
      </c>
      <c r="B283" s="7" t="s">
        <v>360</v>
      </c>
      <c r="C283" s="8" t="s">
        <v>361</v>
      </c>
      <c r="D283" s="6">
        <v>82.25</v>
      </c>
      <c r="E283" s="6">
        <v>82.421875</v>
      </c>
      <c r="F283" s="6">
        <v>3.125</v>
      </c>
      <c r="G283" s="6" t="s">
        <v>18</v>
      </c>
      <c r="H283" s="9">
        <f t="shared" si="1"/>
        <v>82.3359375</v>
      </c>
      <c r="I283" s="6">
        <f>DAYS(C283,Context!$C$19)</f>
        <v>6200</v>
      </c>
      <c r="J283" s="10">
        <f>ACCRINT(L283,K283,Context!$C$19,F283/100,100,2,1)</f>
        <v>0.07769337017</v>
      </c>
      <c r="K283" s="11">
        <f>COUPNCD(Context!$C$19,C283,2,1)</f>
        <v>45884</v>
      </c>
      <c r="L283" s="11">
        <f>COUPPCD(Context!$C$19,C283,2,1)</f>
        <v>45703</v>
      </c>
      <c r="M283" s="9">
        <f t="shared" si="2"/>
        <v>82.41363087</v>
      </c>
      <c r="N283" s="6">
        <f>(C283-Context!$C$19)/365.25</f>
        <v>16.97467488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 t="s">
        <v>15</v>
      </c>
      <c r="B284" s="7" t="s">
        <v>173</v>
      </c>
      <c r="C284" s="8" t="s">
        <v>361</v>
      </c>
      <c r="D284" s="6">
        <v>73.1875</v>
      </c>
      <c r="E284" s="6">
        <v>73.3125</v>
      </c>
      <c r="F284" s="6">
        <v>2.375</v>
      </c>
      <c r="G284" s="6" t="s">
        <v>18</v>
      </c>
      <c r="H284" s="9">
        <f t="shared" si="1"/>
        <v>73.25</v>
      </c>
      <c r="I284" s="6">
        <f>DAYS(C284,Context!$C$19)</f>
        <v>6200</v>
      </c>
      <c r="J284" s="10">
        <f>ACCRINT(L284,K284,Context!$C$19,F284/100,100,2,1)</f>
        <v>0.05904696133</v>
      </c>
      <c r="K284" s="11">
        <f>COUPNCD(Context!$C$19,C284,2,1)</f>
        <v>45884</v>
      </c>
      <c r="L284" s="11">
        <f>COUPPCD(Context!$C$19,C284,2,1)</f>
        <v>45703</v>
      </c>
      <c r="M284" s="9">
        <f t="shared" si="2"/>
        <v>73.30904696</v>
      </c>
      <c r="N284" s="6">
        <f>(C284-Context!$C$19)/365.25</f>
        <v>16.97467488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 t="s">
        <v>15</v>
      </c>
      <c r="B285" s="7" t="s">
        <v>362</v>
      </c>
      <c r="C285" s="8" t="s">
        <v>363</v>
      </c>
      <c r="D285" s="6">
        <v>80.421875</v>
      </c>
      <c r="E285" s="6">
        <v>80.671875</v>
      </c>
      <c r="F285" s="6">
        <v>3.0</v>
      </c>
      <c r="G285" s="6" t="s">
        <v>18</v>
      </c>
      <c r="H285" s="9">
        <f t="shared" si="1"/>
        <v>80.546875</v>
      </c>
      <c r="I285" s="6">
        <f>DAYS(C285,Context!$C$19)</f>
        <v>6289</v>
      </c>
      <c r="J285" s="10">
        <f>ACCRINT(L285,K285,Context!$C$19,F285/100,100,2,1)</f>
        <v>0.8370165746</v>
      </c>
      <c r="K285" s="11">
        <f>COUPNCD(Context!$C$19,C285,2,1)</f>
        <v>45792</v>
      </c>
      <c r="L285" s="11">
        <f>COUPPCD(Context!$C$19,C285,2,1)</f>
        <v>45611</v>
      </c>
      <c r="M285" s="9">
        <f t="shared" si="2"/>
        <v>81.38389157</v>
      </c>
      <c r="N285" s="6">
        <f>(C285-Context!$C$19)/365.25</f>
        <v>17.2183436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 t="s">
        <v>15</v>
      </c>
      <c r="B286" s="7" t="s">
        <v>186</v>
      </c>
      <c r="C286" s="8" t="s">
        <v>363</v>
      </c>
      <c r="D286" s="6">
        <v>83.453125</v>
      </c>
      <c r="E286" s="6">
        <v>83.5625</v>
      </c>
      <c r="F286" s="6">
        <v>3.25</v>
      </c>
      <c r="G286" s="6" t="s">
        <v>18</v>
      </c>
      <c r="H286" s="9">
        <f t="shared" si="1"/>
        <v>83.5078125</v>
      </c>
      <c r="I286" s="6">
        <f>DAYS(C286,Context!$C$19)</f>
        <v>6289</v>
      </c>
      <c r="J286" s="10">
        <f>ACCRINT(L286,K286,Context!$C$19,F286/100,100,2,1)</f>
        <v>0.9067679558</v>
      </c>
      <c r="K286" s="11">
        <f>COUPNCD(Context!$C$19,C286,2,1)</f>
        <v>45792</v>
      </c>
      <c r="L286" s="11">
        <f>COUPPCD(Context!$C$19,C286,2,1)</f>
        <v>45611</v>
      </c>
      <c r="M286" s="9">
        <f t="shared" si="2"/>
        <v>84.41458046</v>
      </c>
      <c r="N286" s="6">
        <f>(C286-Context!$C$19)/365.25</f>
        <v>17.2183436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 t="s">
        <v>15</v>
      </c>
      <c r="B287" s="7" t="s">
        <v>364</v>
      </c>
      <c r="C287" s="8" t="s">
        <v>365</v>
      </c>
      <c r="D287" s="6">
        <v>77.09375</v>
      </c>
      <c r="E287" s="6">
        <v>77.265625</v>
      </c>
      <c r="F287" s="6">
        <v>2.75</v>
      </c>
      <c r="G287" s="6" t="s">
        <v>18</v>
      </c>
      <c r="H287" s="9">
        <f t="shared" si="1"/>
        <v>77.1796875</v>
      </c>
      <c r="I287" s="6">
        <f>DAYS(C287,Context!$C$19)</f>
        <v>6381</v>
      </c>
      <c r="J287" s="10">
        <f>ACCRINT(L287,K287,Context!$C$19,F287/100,100,2,1)</f>
        <v>0.06837016575</v>
      </c>
      <c r="K287" s="11">
        <f>COUPNCD(Context!$C$19,C287,2,1)</f>
        <v>45884</v>
      </c>
      <c r="L287" s="11">
        <f>COUPPCD(Context!$C$19,C287,2,1)</f>
        <v>45703</v>
      </c>
      <c r="M287" s="9">
        <f t="shared" si="2"/>
        <v>77.24805767</v>
      </c>
      <c r="N287" s="6">
        <f>(C287-Context!$C$19)/365.25</f>
        <v>17.47022587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 t="s">
        <v>15</v>
      </c>
      <c r="B288" s="7" t="s">
        <v>201</v>
      </c>
      <c r="C288" s="8" t="s">
        <v>365</v>
      </c>
      <c r="D288" s="6">
        <v>84.6875</v>
      </c>
      <c r="E288" s="6">
        <v>84.78125</v>
      </c>
      <c r="F288" s="6">
        <v>3.375</v>
      </c>
      <c r="G288" s="6" t="s">
        <v>18</v>
      </c>
      <c r="H288" s="9">
        <f t="shared" si="1"/>
        <v>84.734375</v>
      </c>
      <c r="I288" s="6">
        <f>DAYS(C288,Context!$C$19)</f>
        <v>6381</v>
      </c>
      <c r="J288" s="10">
        <f>ACCRINT(L288,K288,Context!$C$19,F288/100,100,2,1)</f>
        <v>0.08390883978</v>
      </c>
      <c r="K288" s="11">
        <f>COUPNCD(Context!$C$19,C288,2,1)</f>
        <v>45884</v>
      </c>
      <c r="L288" s="11">
        <f>COUPPCD(Context!$C$19,C288,2,1)</f>
        <v>45703</v>
      </c>
      <c r="M288" s="9">
        <f t="shared" si="2"/>
        <v>84.81828384</v>
      </c>
      <c r="N288" s="6">
        <f>(C288-Context!$C$19)/365.25</f>
        <v>17.47022587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 t="s">
        <v>15</v>
      </c>
      <c r="B289" s="7" t="s">
        <v>366</v>
      </c>
      <c r="C289" s="8" t="s">
        <v>367</v>
      </c>
      <c r="D289" s="6">
        <v>76.734375</v>
      </c>
      <c r="E289" s="6">
        <v>76.90625</v>
      </c>
      <c r="F289" s="6">
        <v>2.75</v>
      </c>
      <c r="G289" s="6" t="s">
        <v>18</v>
      </c>
      <c r="H289" s="9">
        <f t="shared" si="1"/>
        <v>76.8203125</v>
      </c>
      <c r="I289" s="6">
        <f>DAYS(C289,Context!$C$19)</f>
        <v>6473</v>
      </c>
      <c r="J289" s="10">
        <f>ACCRINT(L289,K289,Context!$C$19,F289/100,100,2,1)</f>
        <v>0.7672651934</v>
      </c>
      <c r="K289" s="11">
        <f>COUPNCD(Context!$C$19,C289,2,1)</f>
        <v>45792</v>
      </c>
      <c r="L289" s="11">
        <f>COUPPCD(Context!$C$19,C289,2,1)</f>
        <v>45611</v>
      </c>
      <c r="M289" s="9">
        <f t="shared" si="2"/>
        <v>77.58757769</v>
      </c>
      <c r="N289" s="6">
        <f>(C289-Context!$C$19)/365.25</f>
        <v>17.72210815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 t="s">
        <v>15</v>
      </c>
      <c r="B290" s="7" t="s">
        <v>215</v>
      </c>
      <c r="C290" s="8" t="s">
        <v>367</v>
      </c>
      <c r="D290" s="6">
        <v>92.140625</v>
      </c>
      <c r="E290" s="6">
        <v>92.21875</v>
      </c>
      <c r="F290" s="6">
        <v>4.0</v>
      </c>
      <c r="G290" s="6" t="s">
        <v>18</v>
      </c>
      <c r="H290" s="9">
        <f t="shared" si="1"/>
        <v>92.1796875</v>
      </c>
      <c r="I290" s="6">
        <f>DAYS(C290,Context!$C$19)</f>
        <v>6473</v>
      </c>
      <c r="J290" s="10">
        <f>ACCRINT(L290,K290,Context!$C$19,F290/100,100,2,1)</f>
        <v>1.116022099</v>
      </c>
      <c r="K290" s="11">
        <f>COUPNCD(Context!$C$19,C290,2,1)</f>
        <v>45792</v>
      </c>
      <c r="L290" s="11">
        <f>COUPPCD(Context!$C$19,C290,2,1)</f>
        <v>45611</v>
      </c>
      <c r="M290" s="9">
        <f t="shared" si="2"/>
        <v>93.2957096</v>
      </c>
      <c r="N290" s="6">
        <f>(C290-Context!$C$19)/365.25</f>
        <v>17.72210815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 t="s">
        <v>15</v>
      </c>
      <c r="B291" s="7" t="s">
        <v>368</v>
      </c>
      <c r="C291" s="8" t="s">
        <v>369</v>
      </c>
      <c r="D291" s="6">
        <v>81.0</v>
      </c>
      <c r="E291" s="6">
        <v>81.171875</v>
      </c>
      <c r="F291" s="6">
        <v>3.125</v>
      </c>
      <c r="G291" s="6" t="s">
        <v>18</v>
      </c>
      <c r="H291" s="9">
        <f t="shared" si="1"/>
        <v>81.0859375</v>
      </c>
      <c r="I291" s="6">
        <f>DAYS(C291,Context!$C$19)</f>
        <v>6565</v>
      </c>
      <c r="J291" s="10">
        <f>ACCRINT(L291,K291,Context!$C$19,F291/100,100,2,1)</f>
        <v>0.07769337017</v>
      </c>
      <c r="K291" s="11">
        <f>COUPNCD(Context!$C$19,C291,2,1)</f>
        <v>45884</v>
      </c>
      <c r="L291" s="11">
        <f>COUPPCD(Context!$C$19,C291,2,1)</f>
        <v>45703</v>
      </c>
      <c r="M291" s="9">
        <f t="shared" si="2"/>
        <v>81.16363087</v>
      </c>
      <c r="N291" s="6">
        <f>(C291-Context!$C$19)/365.25</f>
        <v>17.97399042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 t="s">
        <v>15</v>
      </c>
      <c r="B292" s="7" t="s">
        <v>19</v>
      </c>
      <c r="C292" s="8" t="s">
        <v>369</v>
      </c>
      <c r="D292" s="6">
        <v>90.421875</v>
      </c>
      <c r="E292" s="6">
        <v>90.5</v>
      </c>
      <c r="F292" s="6">
        <v>3.875</v>
      </c>
      <c r="G292" s="6" t="s">
        <v>18</v>
      </c>
      <c r="H292" s="9">
        <f t="shared" si="1"/>
        <v>90.4609375</v>
      </c>
      <c r="I292" s="6">
        <f>DAYS(C292,Context!$C$19)</f>
        <v>6565</v>
      </c>
      <c r="J292" s="10">
        <f>ACCRINT(L292,K292,Context!$C$19,F292/100,100,2,1)</f>
        <v>0.09633977901</v>
      </c>
      <c r="K292" s="11">
        <f>COUPNCD(Context!$C$19,C292,2,1)</f>
        <v>45884</v>
      </c>
      <c r="L292" s="11">
        <f>COUPPCD(Context!$C$19,C292,2,1)</f>
        <v>45703</v>
      </c>
      <c r="M292" s="9">
        <f t="shared" si="2"/>
        <v>90.55727728</v>
      </c>
      <c r="N292" s="6">
        <f>(C292-Context!$C$19)/365.25</f>
        <v>17.97399042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 t="s">
        <v>15</v>
      </c>
      <c r="B293" s="7" t="s">
        <v>370</v>
      </c>
      <c r="C293" s="8" t="s">
        <v>371</v>
      </c>
      <c r="D293" s="6">
        <v>77.734375</v>
      </c>
      <c r="E293" s="6">
        <v>77.90625</v>
      </c>
      <c r="F293" s="6">
        <v>2.875</v>
      </c>
      <c r="G293" s="6" t="s">
        <v>18</v>
      </c>
      <c r="H293" s="9">
        <f t="shared" si="1"/>
        <v>77.8203125</v>
      </c>
      <c r="I293" s="6">
        <f>DAYS(C293,Context!$C$19)</f>
        <v>6654</v>
      </c>
      <c r="J293" s="10">
        <f>ACCRINT(L293,K293,Context!$C$19,F293/100,100,2,1)</f>
        <v>0.802140884</v>
      </c>
      <c r="K293" s="11">
        <f>COUPNCD(Context!$C$19,C293,2,1)</f>
        <v>45792</v>
      </c>
      <c r="L293" s="11">
        <f>COUPPCD(Context!$C$19,C293,2,1)</f>
        <v>45611</v>
      </c>
      <c r="M293" s="9">
        <f t="shared" si="2"/>
        <v>78.62245338</v>
      </c>
      <c r="N293" s="6">
        <f>(C293-Context!$C$19)/365.25</f>
        <v>18.21765914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 t="s">
        <v>15</v>
      </c>
      <c r="B294" s="7" t="s">
        <v>38</v>
      </c>
      <c r="C294" s="8" t="s">
        <v>371</v>
      </c>
      <c r="D294" s="6">
        <v>90.203125</v>
      </c>
      <c r="E294" s="6">
        <v>90.28125</v>
      </c>
      <c r="F294" s="6">
        <v>3.875</v>
      </c>
      <c r="G294" s="6" t="s">
        <v>18</v>
      </c>
      <c r="H294" s="9">
        <f t="shared" si="1"/>
        <v>90.2421875</v>
      </c>
      <c r="I294" s="6">
        <f>DAYS(C294,Context!$C$19)</f>
        <v>6654</v>
      </c>
      <c r="J294" s="10">
        <f>ACCRINT(L294,K294,Context!$C$19,F294/100,100,2,1)</f>
        <v>1.081146409</v>
      </c>
      <c r="K294" s="11">
        <f>COUPNCD(Context!$C$19,C294,2,1)</f>
        <v>45792</v>
      </c>
      <c r="L294" s="11">
        <f>COUPPCD(Context!$C$19,C294,2,1)</f>
        <v>45611</v>
      </c>
      <c r="M294" s="9">
        <f t="shared" si="2"/>
        <v>91.32333391</v>
      </c>
      <c r="N294" s="6">
        <f>(C294-Context!$C$19)/365.25</f>
        <v>18.21765914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 t="s">
        <v>15</v>
      </c>
      <c r="B295" s="7" t="s">
        <v>372</v>
      </c>
      <c r="C295" s="8" t="s">
        <v>373</v>
      </c>
      <c r="D295" s="6">
        <v>86.859375</v>
      </c>
      <c r="E295" s="6">
        <v>86.984375</v>
      </c>
      <c r="F295" s="6">
        <v>3.625</v>
      </c>
      <c r="G295" s="6" t="s">
        <v>18</v>
      </c>
      <c r="H295" s="9">
        <f t="shared" si="1"/>
        <v>86.921875</v>
      </c>
      <c r="I295" s="6">
        <f>DAYS(C295,Context!$C$19)</f>
        <v>6746</v>
      </c>
      <c r="J295" s="10">
        <f>ACCRINT(L295,K295,Context!$C$19,F295/100,100,2,1)</f>
        <v>0.09012430939</v>
      </c>
      <c r="K295" s="11">
        <f>COUPNCD(Context!$C$19,C295,2,1)</f>
        <v>45884</v>
      </c>
      <c r="L295" s="11">
        <f>COUPPCD(Context!$C$19,C295,2,1)</f>
        <v>45703</v>
      </c>
      <c r="M295" s="9">
        <f t="shared" si="2"/>
        <v>87.01199931</v>
      </c>
      <c r="N295" s="6">
        <f>(C295-Context!$C$19)/365.25</f>
        <v>18.46954141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 t="s">
        <v>15</v>
      </c>
      <c r="B296" s="7" t="s">
        <v>59</v>
      </c>
      <c r="C296" s="8" t="s">
        <v>373</v>
      </c>
      <c r="D296" s="6">
        <v>96.375</v>
      </c>
      <c r="E296" s="6">
        <v>96.4375</v>
      </c>
      <c r="F296" s="6">
        <v>4.375</v>
      </c>
      <c r="G296" s="6" t="s">
        <v>18</v>
      </c>
      <c r="H296" s="9">
        <f t="shared" si="1"/>
        <v>96.40625</v>
      </c>
      <c r="I296" s="6">
        <f>DAYS(C296,Context!$C$19)</f>
        <v>6746</v>
      </c>
      <c r="J296" s="10">
        <f>ACCRINT(L296,K296,Context!$C$19,F296/100,100,2,1)</f>
        <v>0.1087707182</v>
      </c>
      <c r="K296" s="11">
        <f>COUPNCD(Context!$C$19,C296,2,1)</f>
        <v>45884</v>
      </c>
      <c r="L296" s="11">
        <f>COUPPCD(Context!$C$19,C296,2,1)</f>
        <v>45703</v>
      </c>
      <c r="M296" s="9">
        <f t="shared" si="2"/>
        <v>96.51502072</v>
      </c>
      <c r="N296" s="6">
        <f>(C296-Context!$C$19)/365.25</f>
        <v>18.46954141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 t="s">
        <v>15</v>
      </c>
      <c r="B297" s="7" t="s">
        <v>374</v>
      </c>
      <c r="C297" s="8" t="s">
        <v>375</v>
      </c>
      <c r="D297" s="6">
        <v>88.265625</v>
      </c>
      <c r="E297" s="6">
        <v>88.375</v>
      </c>
      <c r="F297" s="6">
        <v>3.75</v>
      </c>
      <c r="G297" s="6" t="s">
        <v>18</v>
      </c>
      <c r="H297" s="9">
        <f t="shared" si="1"/>
        <v>88.3203125</v>
      </c>
      <c r="I297" s="6">
        <f>DAYS(C297,Context!$C$19)</f>
        <v>6838</v>
      </c>
      <c r="J297" s="10">
        <f>ACCRINT(L297,K297,Context!$C$19,F297/100,100,2,1)</f>
        <v>1.046270718</v>
      </c>
      <c r="K297" s="11">
        <f>COUPNCD(Context!$C$19,C297,2,1)</f>
        <v>45792</v>
      </c>
      <c r="L297" s="11">
        <f>COUPPCD(Context!$C$19,C297,2,1)</f>
        <v>45611</v>
      </c>
      <c r="M297" s="9">
        <f t="shared" si="2"/>
        <v>89.36658322</v>
      </c>
      <c r="N297" s="6">
        <f>(C297-Context!$C$19)/365.25</f>
        <v>18.72142368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 t="s">
        <v>15</v>
      </c>
      <c r="B298" s="7" t="s">
        <v>78</v>
      </c>
      <c r="C298" s="8" t="s">
        <v>375</v>
      </c>
      <c r="D298" s="6">
        <v>101.03125</v>
      </c>
      <c r="E298" s="6">
        <v>101.078125</v>
      </c>
      <c r="F298" s="6">
        <v>4.75</v>
      </c>
      <c r="G298" s="6" t="s">
        <v>18</v>
      </c>
      <c r="H298" s="9">
        <f t="shared" si="1"/>
        <v>101.0546875</v>
      </c>
      <c r="I298" s="6">
        <f>DAYS(C298,Context!$C$19)</f>
        <v>6838</v>
      </c>
      <c r="J298" s="10">
        <f>ACCRINT(L298,K298,Context!$C$19,F298/100,100,2,1)</f>
        <v>1.325276243</v>
      </c>
      <c r="K298" s="11">
        <f>COUPNCD(Context!$C$19,C298,2,1)</f>
        <v>45792</v>
      </c>
      <c r="L298" s="11">
        <f>COUPPCD(Context!$C$19,C298,2,1)</f>
        <v>45611</v>
      </c>
      <c r="M298" s="9">
        <f t="shared" si="2"/>
        <v>102.3799637</v>
      </c>
      <c r="N298" s="6">
        <f>(C298-Context!$C$19)/365.25</f>
        <v>18.72142368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 t="s">
        <v>15</v>
      </c>
      <c r="B299" s="7" t="s">
        <v>376</v>
      </c>
      <c r="C299" s="8" t="s">
        <v>377</v>
      </c>
      <c r="D299" s="6">
        <v>86.5</v>
      </c>
      <c r="E299" s="6">
        <v>86.59375</v>
      </c>
      <c r="F299" s="6">
        <v>3.625</v>
      </c>
      <c r="G299" s="6" t="s">
        <v>18</v>
      </c>
      <c r="H299" s="9">
        <f t="shared" si="1"/>
        <v>86.546875</v>
      </c>
      <c r="I299" s="6">
        <f>DAYS(C299,Context!$C$19)</f>
        <v>6930</v>
      </c>
      <c r="J299" s="10">
        <f>ACCRINT(L299,K299,Context!$C$19,F299/100,100,2,1)</f>
        <v>0.09012430939</v>
      </c>
      <c r="K299" s="11">
        <f>COUPNCD(Context!$C$19,C299,2,1)</f>
        <v>45884</v>
      </c>
      <c r="L299" s="11">
        <f>COUPPCD(Context!$C$19,C299,2,1)</f>
        <v>45703</v>
      </c>
      <c r="M299" s="9">
        <f t="shared" si="2"/>
        <v>86.63699931</v>
      </c>
      <c r="N299" s="6">
        <f>(C299-Context!$C$19)/365.25</f>
        <v>18.97330595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 t="s">
        <v>15</v>
      </c>
      <c r="B300" s="7" t="s">
        <v>97</v>
      </c>
      <c r="C300" s="8" t="s">
        <v>377</v>
      </c>
      <c r="D300" s="6">
        <v>97.6875</v>
      </c>
      <c r="E300" s="6">
        <v>97.734375</v>
      </c>
      <c r="F300" s="6">
        <v>4.5</v>
      </c>
      <c r="G300" s="6" t="s">
        <v>18</v>
      </c>
      <c r="H300" s="9">
        <f t="shared" si="1"/>
        <v>97.7109375</v>
      </c>
      <c r="I300" s="6">
        <f>DAYS(C300,Context!$C$19)</f>
        <v>6930</v>
      </c>
      <c r="J300" s="10">
        <f>ACCRINT(L300,K300,Context!$C$19,F300/100,100,2,1)</f>
        <v>0.111878453</v>
      </c>
      <c r="K300" s="11">
        <f>COUPNCD(Context!$C$19,C300,2,1)</f>
        <v>45884</v>
      </c>
      <c r="L300" s="11">
        <f>COUPPCD(Context!$C$19,C300,2,1)</f>
        <v>45703</v>
      </c>
      <c r="M300" s="9">
        <f t="shared" si="2"/>
        <v>97.82281595</v>
      </c>
      <c r="N300" s="6">
        <f>(C300-Context!$C$19)/365.25</f>
        <v>18.97330595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 t="s">
        <v>15</v>
      </c>
      <c r="B301" s="7" t="s">
        <v>378</v>
      </c>
      <c r="C301" s="8" t="s">
        <v>379</v>
      </c>
      <c r="D301" s="6">
        <v>83.140625</v>
      </c>
      <c r="E301" s="6">
        <v>83.265625</v>
      </c>
      <c r="F301" s="6">
        <v>3.375</v>
      </c>
      <c r="G301" s="6" t="s">
        <v>18</v>
      </c>
      <c r="H301" s="9">
        <f t="shared" si="1"/>
        <v>83.203125</v>
      </c>
      <c r="I301" s="6">
        <f>DAYS(C301,Context!$C$19)</f>
        <v>7020</v>
      </c>
      <c r="J301" s="10">
        <f>ACCRINT(L301,K301,Context!$C$19,F301/100,100,2,1)</f>
        <v>0.9416436464</v>
      </c>
      <c r="K301" s="11">
        <f>COUPNCD(Context!$C$19,C301,2,1)</f>
        <v>45792</v>
      </c>
      <c r="L301" s="11">
        <f>COUPPCD(Context!$C$19,C301,2,1)</f>
        <v>45611</v>
      </c>
      <c r="M301" s="9">
        <f t="shared" si="2"/>
        <v>84.14476865</v>
      </c>
      <c r="N301" s="6">
        <f>(C301-Context!$C$19)/365.25</f>
        <v>19.21971253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 t="s">
        <v>15</v>
      </c>
      <c r="B302" s="7" t="s">
        <v>116</v>
      </c>
      <c r="C302" s="8" t="s">
        <v>379</v>
      </c>
      <c r="D302" s="6">
        <v>99.1875</v>
      </c>
      <c r="E302" s="6">
        <v>99.234375</v>
      </c>
      <c r="F302" s="6">
        <v>4.625</v>
      </c>
      <c r="G302" s="6" t="s">
        <v>18</v>
      </c>
      <c r="H302" s="9">
        <f t="shared" si="1"/>
        <v>99.2109375</v>
      </c>
      <c r="I302" s="6">
        <f>DAYS(C302,Context!$C$19)</f>
        <v>7020</v>
      </c>
      <c r="J302" s="10">
        <f>ACCRINT(L302,K302,Context!$C$19,F302/100,100,2,1)</f>
        <v>1.290400552</v>
      </c>
      <c r="K302" s="11">
        <f>COUPNCD(Context!$C$19,C302,2,1)</f>
        <v>45792</v>
      </c>
      <c r="L302" s="11">
        <f>COUPPCD(Context!$C$19,C302,2,1)</f>
        <v>45611</v>
      </c>
      <c r="M302" s="9">
        <f t="shared" si="2"/>
        <v>100.5013381</v>
      </c>
      <c r="N302" s="6">
        <f>(C302-Context!$C$19)/365.25</f>
        <v>19.21971253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 t="s">
        <v>15</v>
      </c>
      <c r="B303" s="7" t="s">
        <v>380</v>
      </c>
      <c r="C303" s="8" t="s">
        <v>381</v>
      </c>
      <c r="D303" s="6">
        <v>79.6875</v>
      </c>
      <c r="E303" s="6">
        <v>79.828125</v>
      </c>
      <c r="F303" s="6">
        <v>3.125</v>
      </c>
      <c r="G303" s="6" t="s">
        <v>18</v>
      </c>
      <c r="H303" s="9">
        <f t="shared" si="1"/>
        <v>79.7578125</v>
      </c>
      <c r="I303" s="6">
        <f>DAYS(C303,Context!$C$19)</f>
        <v>7112</v>
      </c>
      <c r="J303" s="10">
        <f>ACCRINT(L303,K303,Context!$C$19,F303/100,100,2,1)</f>
        <v>0.07769337017</v>
      </c>
      <c r="K303" s="11">
        <f>COUPNCD(Context!$C$19,C303,2,1)</f>
        <v>45884</v>
      </c>
      <c r="L303" s="11">
        <f>COUPPCD(Context!$C$19,C303,2,1)</f>
        <v>45703</v>
      </c>
      <c r="M303" s="9">
        <f t="shared" si="2"/>
        <v>79.83550587</v>
      </c>
      <c r="N303" s="6">
        <f>(C303-Context!$C$19)/365.25</f>
        <v>19.4715948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 t="s">
        <v>15</v>
      </c>
      <c r="B304" s="7" t="s">
        <v>137</v>
      </c>
      <c r="C304" s="8" t="s">
        <v>381</v>
      </c>
      <c r="D304" s="6">
        <v>92.671875</v>
      </c>
      <c r="E304" s="6">
        <v>92.703125</v>
      </c>
      <c r="F304" s="6">
        <v>4.125</v>
      </c>
      <c r="G304" s="6" t="s">
        <v>18</v>
      </c>
      <c r="H304" s="9">
        <f t="shared" si="1"/>
        <v>92.6875</v>
      </c>
      <c r="I304" s="6">
        <f>DAYS(C304,Context!$C$19)</f>
        <v>7112</v>
      </c>
      <c r="J304" s="10">
        <f>ACCRINT(L304,K304,Context!$C$19,F304/100,100,2,1)</f>
        <v>0.1025552486</v>
      </c>
      <c r="K304" s="11">
        <f>COUPNCD(Context!$C$19,C304,2,1)</f>
        <v>45884</v>
      </c>
      <c r="L304" s="11">
        <f>COUPPCD(Context!$C$19,C304,2,1)</f>
        <v>45703</v>
      </c>
      <c r="M304" s="9">
        <f t="shared" si="2"/>
        <v>92.79005525</v>
      </c>
      <c r="N304" s="6">
        <f>(C304-Context!$C$19)/365.25</f>
        <v>19.4715948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 t="s">
        <v>15</v>
      </c>
      <c r="B305" s="7" t="s">
        <v>382</v>
      </c>
      <c r="C305" s="8" t="s">
        <v>383</v>
      </c>
      <c r="D305" s="6">
        <v>77.890625</v>
      </c>
      <c r="E305" s="6">
        <v>78.0</v>
      </c>
      <c r="F305" s="6">
        <v>3.0</v>
      </c>
      <c r="G305" s="6" t="s">
        <v>18</v>
      </c>
      <c r="H305" s="9">
        <f t="shared" si="1"/>
        <v>77.9453125</v>
      </c>
      <c r="I305" s="6">
        <f>DAYS(C305,Context!$C$19)</f>
        <v>7204</v>
      </c>
      <c r="J305" s="10">
        <f>ACCRINT(L305,K305,Context!$C$19,F305/100,100,2,1)</f>
        <v>0.8370165746</v>
      </c>
      <c r="K305" s="11">
        <f>COUPNCD(Context!$C$19,C305,2,1)</f>
        <v>45792</v>
      </c>
      <c r="L305" s="11">
        <f>COUPPCD(Context!$C$19,C305,2,1)</f>
        <v>45611</v>
      </c>
      <c r="M305" s="9">
        <f t="shared" si="2"/>
        <v>78.78232907</v>
      </c>
      <c r="N305" s="6">
        <f>(C305-Context!$C$19)/365.25</f>
        <v>19.72347707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 t="s">
        <v>15</v>
      </c>
      <c r="B306" s="7" t="s">
        <v>157</v>
      </c>
      <c r="C306" s="8" t="s">
        <v>383</v>
      </c>
      <c r="D306" s="6">
        <v>99.078125</v>
      </c>
      <c r="E306" s="6">
        <v>99.109375</v>
      </c>
      <c r="F306" s="6">
        <v>4.625</v>
      </c>
      <c r="G306" s="6" t="s">
        <v>18</v>
      </c>
      <c r="H306" s="9">
        <f t="shared" si="1"/>
        <v>99.09375</v>
      </c>
      <c r="I306" s="6">
        <f>DAYS(C306,Context!$C$19)</f>
        <v>7204</v>
      </c>
      <c r="J306" s="10">
        <f>ACCRINT(L306,K306,Context!$C$19,F306/100,100,2,1)</f>
        <v>1.290400552</v>
      </c>
      <c r="K306" s="11">
        <f>COUPNCD(Context!$C$19,C306,2,1)</f>
        <v>45792</v>
      </c>
      <c r="L306" s="11">
        <f>COUPPCD(Context!$C$19,C306,2,1)</f>
        <v>45611</v>
      </c>
      <c r="M306" s="9">
        <f t="shared" si="2"/>
        <v>100.3841506</v>
      </c>
      <c r="N306" s="6">
        <f>(C306-Context!$C$19)/365.25</f>
        <v>19.72347707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 t="s">
        <v>15</v>
      </c>
      <c r="B307" s="7" t="s">
        <v>384</v>
      </c>
      <c r="C307" s="8" t="s">
        <v>385</v>
      </c>
      <c r="D307" s="6">
        <v>71.28125</v>
      </c>
      <c r="E307" s="6">
        <v>71.40625</v>
      </c>
      <c r="F307" s="6">
        <v>2.5</v>
      </c>
      <c r="G307" s="6" t="s">
        <v>18</v>
      </c>
      <c r="H307" s="9">
        <f t="shared" si="1"/>
        <v>71.34375</v>
      </c>
      <c r="I307" s="6">
        <f>DAYS(C307,Context!$C$19)</f>
        <v>7296</v>
      </c>
      <c r="J307" s="10">
        <f>ACCRINT(L307,K307,Context!$C$19,F307/100,100,2,1)</f>
        <v>0.06215469613</v>
      </c>
      <c r="K307" s="11">
        <f>COUPNCD(Context!$C$19,C307,2,1)</f>
        <v>45884</v>
      </c>
      <c r="L307" s="11">
        <f>COUPPCD(Context!$C$19,C307,2,1)</f>
        <v>45703</v>
      </c>
      <c r="M307" s="9">
        <f t="shared" si="2"/>
        <v>71.4059047</v>
      </c>
      <c r="N307" s="6">
        <f>(C307-Context!$C$19)/365.25</f>
        <v>19.97535934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 t="s">
        <v>15</v>
      </c>
      <c r="B308" s="7" t="s">
        <v>17</v>
      </c>
      <c r="C308" s="8" t="s">
        <v>385</v>
      </c>
      <c r="D308" s="6">
        <v>101.0</v>
      </c>
      <c r="E308" s="6">
        <v>101.03125</v>
      </c>
      <c r="F308" s="6">
        <v>4.75</v>
      </c>
      <c r="G308" s="6" t="s">
        <v>18</v>
      </c>
      <c r="H308" s="9">
        <f t="shared" si="1"/>
        <v>101.015625</v>
      </c>
      <c r="I308" s="6">
        <f>DAYS(C308,Context!$C$19)</f>
        <v>7296</v>
      </c>
      <c r="J308" s="10">
        <f>ACCRINT(L308,K308,Context!$C$19,F308/100,100,2,1)</f>
        <v>0.1180939227</v>
      </c>
      <c r="K308" s="11">
        <f>COUPNCD(Context!$C$19,C308,2,1)</f>
        <v>45884</v>
      </c>
      <c r="L308" s="11">
        <f>COUPPCD(Context!$C$19,C308,2,1)</f>
        <v>45703</v>
      </c>
      <c r="M308" s="9">
        <f t="shared" si="2"/>
        <v>101.1337189</v>
      </c>
      <c r="N308" s="6">
        <f>(C308-Context!$C$19)/365.25</f>
        <v>19.97535934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 t="s">
        <v>15</v>
      </c>
      <c r="B309" s="7" t="s">
        <v>33</v>
      </c>
      <c r="C309" s="8" t="s">
        <v>386</v>
      </c>
      <c r="D309" s="6">
        <v>77.546875</v>
      </c>
      <c r="E309" s="6">
        <v>77.671875</v>
      </c>
      <c r="F309" s="6">
        <v>3.0</v>
      </c>
      <c r="G309" s="6" t="s">
        <v>18</v>
      </c>
      <c r="H309" s="9">
        <f t="shared" si="1"/>
        <v>77.609375</v>
      </c>
      <c r="I309" s="6">
        <f>DAYS(C309,Context!$C$19)</f>
        <v>7385</v>
      </c>
      <c r="J309" s="10">
        <f>ACCRINT(L309,K309,Context!$C$19,F309/100,100,2,1)</f>
        <v>0.8370165746</v>
      </c>
      <c r="K309" s="11">
        <f>COUPNCD(Context!$C$19,C309,2,1)</f>
        <v>45792</v>
      </c>
      <c r="L309" s="11">
        <f>COUPPCD(Context!$C$19,C309,2,1)</f>
        <v>45611</v>
      </c>
      <c r="M309" s="9">
        <f t="shared" si="2"/>
        <v>78.44639157</v>
      </c>
      <c r="N309" s="6">
        <f>(C309-Context!$C$19)/365.25</f>
        <v>20.21902806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 t="s">
        <v>15</v>
      </c>
      <c r="B310" s="7" t="s">
        <v>55</v>
      </c>
      <c r="C310" s="8" t="s">
        <v>387</v>
      </c>
      <c r="D310" s="6">
        <v>75.765625</v>
      </c>
      <c r="E310" s="6">
        <v>75.875</v>
      </c>
      <c r="F310" s="6">
        <v>2.875</v>
      </c>
      <c r="G310" s="6" t="s">
        <v>18</v>
      </c>
      <c r="H310" s="9">
        <f t="shared" si="1"/>
        <v>75.8203125</v>
      </c>
      <c r="I310" s="6">
        <f>DAYS(C310,Context!$C$19)</f>
        <v>7477</v>
      </c>
      <c r="J310" s="10">
        <f>ACCRINT(L310,K310,Context!$C$19,F310/100,100,2,1)</f>
        <v>0.07147790055</v>
      </c>
      <c r="K310" s="11">
        <f>COUPNCD(Context!$C$19,C310,2,1)</f>
        <v>45884</v>
      </c>
      <c r="L310" s="11">
        <f>COUPPCD(Context!$C$19,C310,2,1)</f>
        <v>45703</v>
      </c>
      <c r="M310" s="9">
        <f t="shared" si="2"/>
        <v>75.8917904</v>
      </c>
      <c r="N310" s="6">
        <f>(C310-Context!$C$19)/365.25</f>
        <v>20.47091034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 t="s">
        <v>15</v>
      </c>
      <c r="B311" s="7" t="s">
        <v>74</v>
      </c>
      <c r="C311" s="8" t="s">
        <v>388</v>
      </c>
      <c r="D311" s="6">
        <v>77.21875</v>
      </c>
      <c r="E311" s="6">
        <v>77.34375</v>
      </c>
      <c r="F311" s="6">
        <v>3.0</v>
      </c>
      <c r="G311" s="6" t="s">
        <v>18</v>
      </c>
      <c r="H311" s="9">
        <f t="shared" si="1"/>
        <v>77.28125</v>
      </c>
      <c r="I311" s="6">
        <f>DAYS(C311,Context!$C$19)</f>
        <v>7569</v>
      </c>
      <c r="J311" s="10">
        <f>ACCRINT(L311,K311,Context!$C$19,F311/100,100,2,1)</f>
        <v>0.8370165746</v>
      </c>
      <c r="K311" s="11">
        <f>COUPNCD(Context!$C$19,C311,2,1)</f>
        <v>45792</v>
      </c>
      <c r="L311" s="11">
        <f>COUPPCD(Context!$C$19,C311,2,1)</f>
        <v>45611</v>
      </c>
      <c r="M311" s="9">
        <f t="shared" si="2"/>
        <v>78.11826657</v>
      </c>
      <c r="N311" s="6">
        <f>(C311-Context!$C$19)/365.25</f>
        <v>20.72279261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 t="s">
        <v>15</v>
      </c>
      <c r="B312" s="7" t="s">
        <v>94</v>
      </c>
      <c r="C312" s="8" t="s">
        <v>389</v>
      </c>
      <c r="D312" s="6">
        <v>70.3125</v>
      </c>
      <c r="E312" s="6">
        <v>70.4375</v>
      </c>
      <c r="F312" s="6">
        <v>2.5</v>
      </c>
      <c r="G312" s="6" t="s">
        <v>18</v>
      </c>
      <c r="H312" s="9">
        <f t="shared" si="1"/>
        <v>70.375</v>
      </c>
      <c r="I312" s="6">
        <f>DAYS(C312,Context!$C$19)</f>
        <v>7661</v>
      </c>
      <c r="J312" s="10">
        <f>ACCRINT(L312,K312,Context!$C$19,F312/100,100,2,1)</f>
        <v>0.06215469613</v>
      </c>
      <c r="K312" s="11">
        <f>COUPNCD(Context!$C$19,C312,2,1)</f>
        <v>45884</v>
      </c>
      <c r="L312" s="11">
        <f>COUPPCD(Context!$C$19,C312,2,1)</f>
        <v>45703</v>
      </c>
      <c r="M312" s="9">
        <f t="shared" si="2"/>
        <v>70.4371547</v>
      </c>
      <c r="N312" s="6">
        <f>(C312-Context!$C$19)/365.25</f>
        <v>20.97467488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 t="s">
        <v>15</v>
      </c>
      <c r="B313" s="7" t="s">
        <v>113</v>
      </c>
      <c r="C313" s="8" t="s">
        <v>390</v>
      </c>
      <c r="D313" s="6">
        <v>70.046875</v>
      </c>
      <c r="E313" s="6">
        <v>70.171875</v>
      </c>
      <c r="F313" s="6">
        <v>2.5</v>
      </c>
      <c r="G313" s="6" t="s">
        <v>18</v>
      </c>
      <c r="H313" s="9">
        <f t="shared" si="1"/>
        <v>70.109375</v>
      </c>
      <c r="I313" s="6">
        <f>DAYS(C313,Context!$C$19)</f>
        <v>7750</v>
      </c>
      <c r="J313" s="10">
        <f>ACCRINT(L313,K313,Context!$C$19,F313/100,100,2,1)</f>
        <v>0.6975138122</v>
      </c>
      <c r="K313" s="11">
        <f>COUPNCD(Context!$C$19,C313,2,1)</f>
        <v>45792</v>
      </c>
      <c r="L313" s="11">
        <f>COUPPCD(Context!$C$19,C313,2,1)</f>
        <v>45611</v>
      </c>
      <c r="M313" s="9">
        <f t="shared" si="2"/>
        <v>70.80688881</v>
      </c>
      <c r="N313" s="6">
        <f>(C313-Context!$C$19)/365.25</f>
        <v>21.2183436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 t="s">
        <v>15</v>
      </c>
      <c r="B314" s="7" t="s">
        <v>132</v>
      </c>
      <c r="C314" s="8" t="s">
        <v>391</v>
      </c>
      <c r="D314" s="6">
        <v>66.46875</v>
      </c>
      <c r="E314" s="6">
        <v>66.59375</v>
      </c>
      <c r="F314" s="6">
        <v>2.25</v>
      </c>
      <c r="G314" s="6" t="s">
        <v>18</v>
      </c>
      <c r="H314" s="9">
        <f t="shared" si="1"/>
        <v>66.53125</v>
      </c>
      <c r="I314" s="6">
        <f>DAYS(C314,Context!$C$19)</f>
        <v>7842</v>
      </c>
      <c r="J314" s="10">
        <f>ACCRINT(L314,K314,Context!$C$19,F314/100,100,2,1)</f>
        <v>0.05593922652</v>
      </c>
      <c r="K314" s="11">
        <f>COUPNCD(Context!$C$19,C314,2,1)</f>
        <v>45884</v>
      </c>
      <c r="L314" s="11">
        <f>COUPPCD(Context!$C$19,C314,2,1)</f>
        <v>45703</v>
      </c>
      <c r="M314" s="9">
        <f t="shared" si="2"/>
        <v>66.58718923</v>
      </c>
      <c r="N314" s="6">
        <f>(C314-Context!$C$19)/365.25</f>
        <v>21.47022587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 t="s">
        <v>15</v>
      </c>
      <c r="B315" s="7" t="s">
        <v>152</v>
      </c>
      <c r="C315" s="8" t="s">
        <v>392</v>
      </c>
      <c r="D315" s="6">
        <v>74.6875</v>
      </c>
      <c r="E315" s="6">
        <v>74.8125</v>
      </c>
      <c r="F315" s="6">
        <v>2.875</v>
      </c>
      <c r="G315" s="6" t="s">
        <v>18</v>
      </c>
      <c r="H315" s="9">
        <f t="shared" si="1"/>
        <v>74.75</v>
      </c>
      <c r="I315" s="6">
        <f>DAYS(C315,Context!$C$19)</f>
        <v>7934</v>
      </c>
      <c r="J315" s="10">
        <f>ACCRINT(L315,K315,Context!$C$19,F315/100,100,2,1)</f>
        <v>0.802140884</v>
      </c>
      <c r="K315" s="11">
        <f>COUPNCD(Context!$C$19,C315,2,1)</f>
        <v>45792</v>
      </c>
      <c r="L315" s="11">
        <f>COUPPCD(Context!$C$19,C315,2,1)</f>
        <v>45611</v>
      </c>
      <c r="M315" s="9">
        <f t="shared" si="2"/>
        <v>75.55214088</v>
      </c>
      <c r="N315" s="6">
        <f>(C315-Context!$C$19)/365.25</f>
        <v>21.72210815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 t="s">
        <v>15</v>
      </c>
      <c r="B316" s="7" t="s">
        <v>169</v>
      </c>
      <c r="C316" s="8" t="s">
        <v>393</v>
      </c>
      <c r="D316" s="6">
        <v>76.171875</v>
      </c>
      <c r="E316" s="6">
        <v>76.296875</v>
      </c>
      <c r="F316" s="6">
        <v>3.0</v>
      </c>
      <c r="G316" s="6" t="s">
        <v>18</v>
      </c>
      <c r="H316" s="9">
        <f t="shared" si="1"/>
        <v>76.234375</v>
      </c>
      <c r="I316" s="6">
        <f>DAYS(C316,Context!$C$19)</f>
        <v>8026</v>
      </c>
      <c r="J316" s="10">
        <f>ACCRINT(L316,K316,Context!$C$19,F316/100,100,2,1)</f>
        <v>0.07458563536</v>
      </c>
      <c r="K316" s="11">
        <f>COUPNCD(Context!$C$19,C316,2,1)</f>
        <v>45884</v>
      </c>
      <c r="L316" s="11">
        <f>COUPPCD(Context!$C$19,C316,2,1)</f>
        <v>45703</v>
      </c>
      <c r="M316" s="9">
        <f t="shared" si="2"/>
        <v>76.30896064</v>
      </c>
      <c r="N316" s="6">
        <f>(C316-Context!$C$19)/365.25</f>
        <v>21.97399042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 t="s">
        <v>15</v>
      </c>
      <c r="B317" s="7" t="s">
        <v>183</v>
      </c>
      <c r="C317" s="8" t="s">
        <v>394</v>
      </c>
      <c r="D317" s="6">
        <v>76.0</v>
      </c>
      <c r="E317" s="6">
        <v>76.125</v>
      </c>
      <c r="F317" s="6">
        <v>3.0</v>
      </c>
      <c r="G317" s="6" t="s">
        <v>18</v>
      </c>
      <c r="H317" s="9">
        <f t="shared" si="1"/>
        <v>76.0625</v>
      </c>
      <c r="I317" s="6">
        <f>DAYS(C317,Context!$C$19)</f>
        <v>8115</v>
      </c>
      <c r="J317" s="10">
        <f>ACCRINT(L317,K317,Context!$C$19,F317/100,100,2,1)</f>
        <v>0.8370165746</v>
      </c>
      <c r="K317" s="11">
        <f>COUPNCD(Context!$C$19,C317,2,1)</f>
        <v>45792</v>
      </c>
      <c r="L317" s="11">
        <f>COUPPCD(Context!$C$19,C317,2,1)</f>
        <v>45611</v>
      </c>
      <c r="M317" s="9">
        <f t="shared" si="2"/>
        <v>76.89951657</v>
      </c>
      <c r="N317" s="6">
        <f>(C317-Context!$C$19)/365.25</f>
        <v>22.21765914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 t="s">
        <v>15</v>
      </c>
      <c r="B318" s="7" t="s">
        <v>198</v>
      </c>
      <c r="C318" s="8" t="s">
        <v>395</v>
      </c>
      <c r="D318" s="6">
        <v>72.359375</v>
      </c>
      <c r="E318" s="6">
        <v>72.46875</v>
      </c>
      <c r="F318" s="6">
        <v>2.75</v>
      </c>
      <c r="G318" s="6" t="s">
        <v>18</v>
      </c>
      <c r="H318" s="9">
        <f t="shared" si="1"/>
        <v>72.4140625</v>
      </c>
      <c r="I318" s="6">
        <f>DAYS(C318,Context!$C$19)</f>
        <v>8207</v>
      </c>
      <c r="J318" s="10">
        <f>ACCRINT(L318,K318,Context!$C$19,F318/100,100,2,1)</f>
        <v>0.06837016575</v>
      </c>
      <c r="K318" s="11">
        <f>COUPNCD(Context!$C$19,C318,2,1)</f>
        <v>45884</v>
      </c>
      <c r="L318" s="11">
        <f>COUPPCD(Context!$C$19,C318,2,1)</f>
        <v>45703</v>
      </c>
      <c r="M318" s="9">
        <f t="shared" si="2"/>
        <v>72.48243267</v>
      </c>
      <c r="N318" s="6">
        <f>(C318-Context!$C$19)/365.25</f>
        <v>22.46954141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 t="s">
        <v>15</v>
      </c>
      <c r="B319" s="7" t="s">
        <v>210</v>
      </c>
      <c r="C319" s="8" t="s">
        <v>396</v>
      </c>
      <c r="D319" s="6">
        <v>72.171875</v>
      </c>
      <c r="E319" s="6">
        <v>72.265625</v>
      </c>
      <c r="F319" s="6">
        <v>2.75</v>
      </c>
      <c r="G319" s="6" t="s">
        <v>18</v>
      </c>
      <c r="H319" s="9">
        <f t="shared" si="1"/>
        <v>72.21875</v>
      </c>
      <c r="I319" s="6">
        <f>DAYS(C319,Context!$C$19)</f>
        <v>8299</v>
      </c>
      <c r="J319" s="10">
        <f>ACCRINT(L319,K319,Context!$C$19,F319/100,100,2,1)</f>
        <v>0.7672651934</v>
      </c>
      <c r="K319" s="11">
        <f>COUPNCD(Context!$C$19,C319,2,1)</f>
        <v>45792</v>
      </c>
      <c r="L319" s="11">
        <f>COUPPCD(Context!$C$19,C319,2,1)</f>
        <v>45611</v>
      </c>
      <c r="M319" s="9">
        <f t="shared" si="2"/>
        <v>72.98601519</v>
      </c>
      <c r="N319" s="6">
        <f>(C319-Context!$C$19)/365.25</f>
        <v>22.72142368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 t="s">
        <v>15</v>
      </c>
      <c r="B320" s="7" t="s">
        <v>224</v>
      </c>
      <c r="C320" s="8" t="s">
        <v>397</v>
      </c>
      <c r="D320" s="6">
        <v>75.4375</v>
      </c>
      <c r="E320" s="6">
        <v>75.546875</v>
      </c>
      <c r="F320" s="6">
        <v>3.0</v>
      </c>
      <c r="G320" s="6" t="s">
        <v>18</v>
      </c>
      <c r="H320" s="9">
        <f t="shared" si="1"/>
        <v>75.4921875</v>
      </c>
      <c r="I320" s="6">
        <f>DAYS(C320,Context!$C$19)</f>
        <v>8391</v>
      </c>
      <c r="J320" s="10">
        <f>ACCRINT(L320,K320,Context!$C$19,F320/100,100,2,1)</f>
        <v>0.07458563536</v>
      </c>
      <c r="K320" s="11">
        <f>COUPNCD(Context!$C$19,C320,2,1)</f>
        <v>45884</v>
      </c>
      <c r="L320" s="11">
        <f>COUPPCD(Context!$C$19,C320,2,1)</f>
        <v>45703</v>
      </c>
      <c r="M320" s="9">
        <f t="shared" si="2"/>
        <v>75.56677314</v>
      </c>
      <c r="N320" s="6">
        <f>(C320-Context!$C$19)/365.25</f>
        <v>22.97330595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 t="s">
        <v>15</v>
      </c>
      <c r="B321" s="7" t="s">
        <v>230</v>
      </c>
      <c r="C321" s="8" t="s">
        <v>398</v>
      </c>
      <c r="D321" s="6">
        <v>77.03125</v>
      </c>
      <c r="E321" s="6">
        <v>77.140625</v>
      </c>
      <c r="F321" s="6">
        <v>3.125</v>
      </c>
      <c r="G321" s="6" t="s">
        <v>18</v>
      </c>
      <c r="H321" s="9">
        <f t="shared" si="1"/>
        <v>77.0859375</v>
      </c>
      <c r="I321" s="6">
        <f>DAYS(C321,Context!$C$19)</f>
        <v>8481</v>
      </c>
      <c r="J321" s="10">
        <f>ACCRINT(L321,K321,Context!$C$19,F321/100,100,2,1)</f>
        <v>0.8718922652</v>
      </c>
      <c r="K321" s="11">
        <f>COUPNCD(Context!$C$19,C321,2,1)</f>
        <v>45792</v>
      </c>
      <c r="L321" s="11">
        <f>COUPPCD(Context!$C$19,C321,2,1)</f>
        <v>45611</v>
      </c>
      <c r="M321" s="9">
        <f t="shared" si="2"/>
        <v>77.95782977</v>
      </c>
      <c r="N321" s="6">
        <f>(C321-Context!$C$19)/365.25</f>
        <v>23.21971253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 t="s">
        <v>15</v>
      </c>
      <c r="B322" s="7" t="s">
        <v>235</v>
      </c>
      <c r="C322" s="8" t="s">
        <v>399</v>
      </c>
      <c r="D322" s="6">
        <v>75.09375</v>
      </c>
      <c r="E322" s="6">
        <v>75.203125</v>
      </c>
      <c r="F322" s="6">
        <v>3.0</v>
      </c>
      <c r="G322" s="6" t="s">
        <v>18</v>
      </c>
      <c r="H322" s="9">
        <f t="shared" si="1"/>
        <v>75.1484375</v>
      </c>
      <c r="I322" s="6">
        <f>DAYS(C322,Context!$C$19)</f>
        <v>8573</v>
      </c>
      <c r="J322" s="10">
        <f>ACCRINT(L322,K322,Context!$C$19,F322/100,100,2,1)</f>
        <v>0.07458563536</v>
      </c>
      <c r="K322" s="11">
        <f>COUPNCD(Context!$C$19,C322,2,1)</f>
        <v>45884</v>
      </c>
      <c r="L322" s="11">
        <f>COUPPCD(Context!$C$19,C322,2,1)</f>
        <v>45703</v>
      </c>
      <c r="M322" s="9">
        <f t="shared" si="2"/>
        <v>75.22302314</v>
      </c>
      <c r="N322" s="6">
        <f>(C322-Context!$C$19)/365.25</f>
        <v>23.4715948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 t="s">
        <v>15</v>
      </c>
      <c r="B323" s="7" t="s">
        <v>241</v>
      </c>
      <c r="C323" s="8" t="s">
        <v>400</v>
      </c>
      <c r="D323" s="6">
        <v>80.265625</v>
      </c>
      <c r="E323" s="6">
        <v>80.375</v>
      </c>
      <c r="F323" s="6">
        <v>3.375</v>
      </c>
      <c r="G323" s="6" t="s">
        <v>18</v>
      </c>
      <c r="H323" s="9">
        <f t="shared" si="1"/>
        <v>80.3203125</v>
      </c>
      <c r="I323" s="6">
        <f>DAYS(C323,Context!$C$19)</f>
        <v>8665</v>
      </c>
      <c r="J323" s="10">
        <f>ACCRINT(L323,K323,Context!$C$19,F323/100,100,2,1)</f>
        <v>0.9416436464</v>
      </c>
      <c r="K323" s="11">
        <f>COUPNCD(Context!$C$19,C323,2,1)</f>
        <v>45792</v>
      </c>
      <c r="L323" s="11">
        <f>COUPPCD(Context!$C$19,C323,2,1)</f>
        <v>45611</v>
      </c>
      <c r="M323" s="9">
        <f t="shared" si="2"/>
        <v>81.26195615</v>
      </c>
      <c r="N323" s="6">
        <f>(C323-Context!$C$19)/365.25</f>
        <v>23.72347707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 t="s">
        <v>15</v>
      </c>
      <c r="B324" s="7" t="s">
        <v>248</v>
      </c>
      <c r="C324" s="8" t="s">
        <v>401</v>
      </c>
      <c r="D324" s="6">
        <v>74.828125</v>
      </c>
      <c r="E324" s="6">
        <v>74.9375</v>
      </c>
      <c r="F324" s="6">
        <v>3.0</v>
      </c>
      <c r="G324" s="6" t="s">
        <v>18</v>
      </c>
      <c r="H324" s="9">
        <f t="shared" si="1"/>
        <v>74.8828125</v>
      </c>
      <c r="I324" s="6">
        <f>DAYS(C324,Context!$C$19)</f>
        <v>8757</v>
      </c>
      <c r="J324" s="10">
        <f>ACCRINT(L324,K324,Context!$C$19,F324/100,100,2,1)</f>
        <v>0.07458563536</v>
      </c>
      <c r="K324" s="11">
        <f>COUPNCD(Context!$C$19,C324,2,1)</f>
        <v>45884</v>
      </c>
      <c r="L324" s="11">
        <f>COUPPCD(Context!$C$19,C324,2,1)</f>
        <v>45703</v>
      </c>
      <c r="M324" s="9">
        <f t="shared" si="2"/>
        <v>74.95739814</v>
      </c>
      <c r="N324" s="6">
        <f>(C324-Context!$C$19)/365.25</f>
        <v>23.97535934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 t="s">
        <v>15</v>
      </c>
      <c r="B325" s="7" t="s">
        <v>254</v>
      </c>
      <c r="C325" s="8" t="s">
        <v>402</v>
      </c>
      <c r="D325" s="6">
        <v>72.90625</v>
      </c>
      <c r="E325" s="6">
        <v>73.0</v>
      </c>
      <c r="F325" s="6">
        <v>2.875</v>
      </c>
      <c r="G325" s="6" t="s">
        <v>18</v>
      </c>
      <c r="H325" s="9">
        <f t="shared" si="1"/>
        <v>72.953125</v>
      </c>
      <c r="I325" s="6">
        <f>DAYS(C325,Context!$C$19)</f>
        <v>8846</v>
      </c>
      <c r="J325" s="10">
        <f>ACCRINT(L325,K325,Context!$C$19,F325/100,100,2,1)</f>
        <v>0.802140884</v>
      </c>
      <c r="K325" s="11">
        <f>COUPNCD(Context!$C$19,C325,2,1)</f>
        <v>45792</v>
      </c>
      <c r="L325" s="11">
        <f>COUPPCD(Context!$C$19,C325,2,1)</f>
        <v>45611</v>
      </c>
      <c r="M325" s="9">
        <f t="shared" si="2"/>
        <v>73.75526588</v>
      </c>
      <c r="N325" s="6">
        <f>(C325-Context!$C$19)/365.25</f>
        <v>24.21902806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 t="s">
        <v>15</v>
      </c>
      <c r="B326" s="7" t="s">
        <v>259</v>
      </c>
      <c r="C326" s="8" t="s">
        <v>403</v>
      </c>
      <c r="D326" s="6">
        <v>63.78125</v>
      </c>
      <c r="E326" s="6">
        <v>63.875</v>
      </c>
      <c r="F326" s="6">
        <v>2.25</v>
      </c>
      <c r="G326" s="6" t="s">
        <v>18</v>
      </c>
      <c r="H326" s="9">
        <f t="shared" si="1"/>
        <v>63.828125</v>
      </c>
      <c r="I326" s="6">
        <f>DAYS(C326,Context!$C$19)</f>
        <v>8938</v>
      </c>
      <c r="J326" s="10">
        <f>ACCRINT(L326,K326,Context!$C$19,F326/100,100,2,1)</f>
        <v>0.05593922652</v>
      </c>
      <c r="K326" s="11">
        <f>COUPNCD(Context!$C$19,C326,2,1)</f>
        <v>45884</v>
      </c>
      <c r="L326" s="11">
        <f>COUPPCD(Context!$C$19,C326,2,1)</f>
        <v>45703</v>
      </c>
      <c r="M326" s="9">
        <f t="shared" si="2"/>
        <v>63.88406423</v>
      </c>
      <c r="N326" s="6">
        <f>(C326-Context!$C$19)/365.25</f>
        <v>24.47091034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 t="s">
        <v>15</v>
      </c>
      <c r="B327" s="7" t="s">
        <v>265</v>
      </c>
      <c r="C327" s="8" t="s">
        <v>404</v>
      </c>
      <c r="D327" s="6">
        <v>65.4375</v>
      </c>
      <c r="E327" s="6">
        <v>65.53125</v>
      </c>
      <c r="F327" s="6">
        <v>2.375</v>
      </c>
      <c r="G327" s="6" t="s">
        <v>18</v>
      </c>
      <c r="H327" s="9">
        <f t="shared" si="1"/>
        <v>65.484375</v>
      </c>
      <c r="I327" s="6">
        <f>DAYS(C327,Context!$C$19)</f>
        <v>9030</v>
      </c>
      <c r="J327" s="10">
        <f>ACCRINT(L327,K327,Context!$C$19,F327/100,100,2,1)</f>
        <v>0.6626381215</v>
      </c>
      <c r="K327" s="11">
        <f>COUPNCD(Context!$C$19,C327,2,1)</f>
        <v>45792</v>
      </c>
      <c r="L327" s="11">
        <f>COUPPCD(Context!$C$19,C327,2,1)</f>
        <v>45611</v>
      </c>
      <c r="M327" s="9">
        <f t="shared" si="2"/>
        <v>66.14701312</v>
      </c>
      <c r="N327" s="6">
        <f>(C327-Context!$C$19)/365.25</f>
        <v>24.72279261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 t="s">
        <v>15</v>
      </c>
      <c r="B328" s="7" t="s">
        <v>270</v>
      </c>
      <c r="C328" s="8" t="s">
        <v>405</v>
      </c>
      <c r="D328" s="6">
        <v>59.84375</v>
      </c>
      <c r="E328" s="6">
        <v>59.9375</v>
      </c>
      <c r="F328" s="6">
        <v>2.0</v>
      </c>
      <c r="G328" s="6" t="s">
        <v>18</v>
      </c>
      <c r="H328" s="9">
        <f t="shared" si="1"/>
        <v>59.890625</v>
      </c>
      <c r="I328" s="6">
        <f>DAYS(C328,Context!$C$19)</f>
        <v>9122</v>
      </c>
      <c r="J328" s="10">
        <f>ACCRINT(L328,K328,Context!$C$19,F328/100,100,2,1)</f>
        <v>0.04972375691</v>
      </c>
      <c r="K328" s="11">
        <f>COUPNCD(Context!$C$19,C328,2,1)</f>
        <v>45884</v>
      </c>
      <c r="L328" s="11">
        <f>COUPPCD(Context!$C$19,C328,2,1)</f>
        <v>45703</v>
      </c>
      <c r="M328" s="9">
        <f t="shared" si="2"/>
        <v>59.94034876</v>
      </c>
      <c r="N328" s="6">
        <f>(C328-Context!$C$19)/365.25</f>
        <v>24.97467488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 t="s">
        <v>15</v>
      </c>
      <c r="B329" s="7" t="s">
        <v>277</v>
      </c>
      <c r="C329" s="8" t="s">
        <v>406</v>
      </c>
      <c r="D329" s="6">
        <v>48.984375</v>
      </c>
      <c r="E329" s="6">
        <v>49.078125</v>
      </c>
      <c r="F329" s="6">
        <v>1.25</v>
      </c>
      <c r="G329" s="6" t="s">
        <v>18</v>
      </c>
      <c r="H329" s="9">
        <f t="shared" si="1"/>
        <v>49.03125</v>
      </c>
      <c r="I329" s="6">
        <f>DAYS(C329,Context!$C$19)</f>
        <v>9211</v>
      </c>
      <c r="J329" s="10">
        <f>ACCRINT(L329,K329,Context!$C$19,F329/100,100,2,1)</f>
        <v>0.3487569061</v>
      </c>
      <c r="K329" s="11">
        <f>COUPNCD(Context!$C$19,C329,2,1)</f>
        <v>45792</v>
      </c>
      <c r="L329" s="11">
        <f>COUPPCD(Context!$C$19,C329,2,1)</f>
        <v>45611</v>
      </c>
      <c r="M329" s="9">
        <f t="shared" si="2"/>
        <v>49.38000691</v>
      </c>
      <c r="N329" s="6">
        <f>(C329-Context!$C$19)/365.25</f>
        <v>25.2183436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 t="s">
        <v>15</v>
      </c>
      <c r="B330" s="7" t="s">
        <v>281</v>
      </c>
      <c r="C330" s="8" t="s">
        <v>407</v>
      </c>
      <c r="D330" s="6">
        <v>50.328125</v>
      </c>
      <c r="E330" s="6">
        <v>50.40625</v>
      </c>
      <c r="F330" s="6">
        <v>1.375</v>
      </c>
      <c r="G330" s="6" t="s">
        <v>18</v>
      </c>
      <c r="H330" s="9">
        <f t="shared" si="1"/>
        <v>50.3671875</v>
      </c>
      <c r="I330" s="6">
        <f>DAYS(C330,Context!$C$19)</f>
        <v>9303</v>
      </c>
      <c r="J330" s="10">
        <f>ACCRINT(L330,K330,Context!$C$19,F330/100,100,2,1)</f>
        <v>0.03418508287</v>
      </c>
      <c r="K330" s="11">
        <f>COUPNCD(Context!$C$19,C330,2,1)</f>
        <v>45884</v>
      </c>
      <c r="L330" s="11">
        <f>COUPPCD(Context!$C$19,C330,2,1)</f>
        <v>45703</v>
      </c>
      <c r="M330" s="9">
        <f t="shared" si="2"/>
        <v>50.40137258</v>
      </c>
      <c r="N330" s="6">
        <f>(C330-Context!$C$19)/365.25</f>
        <v>25.47022587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 t="s">
        <v>15</v>
      </c>
      <c r="B331" s="7" t="s">
        <v>286</v>
      </c>
      <c r="C331" s="8" t="s">
        <v>408</v>
      </c>
      <c r="D331" s="6">
        <v>53.78125</v>
      </c>
      <c r="E331" s="6">
        <v>53.875</v>
      </c>
      <c r="F331" s="6">
        <v>1.625</v>
      </c>
      <c r="G331" s="6" t="s">
        <v>18</v>
      </c>
      <c r="H331" s="9">
        <f t="shared" si="1"/>
        <v>53.828125</v>
      </c>
      <c r="I331" s="6">
        <f>DAYS(C331,Context!$C$19)</f>
        <v>9395</v>
      </c>
      <c r="J331" s="10">
        <f>ACCRINT(L331,K331,Context!$C$19,F331/100,100,2,1)</f>
        <v>0.4533839779</v>
      </c>
      <c r="K331" s="11">
        <f>COUPNCD(Context!$C$19,C331,2,1)</f>
        <v>45792</v>
      </c>
      <c r="L331" s="11">
        <f>COUPPCD(Context!$C$19,C331,2,1)</f>
        <v>45611</v>
      </c>
      <c r="M331" s="9">
        <f t="shared" si="2"/>
        <v>54.28150898</v>
      </c>
      <c r="N331" s="6">
        <f>(C331-Context!$C$19)/365.25</f>
        <v>25.72210815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 t="s">
        <v>15</v>
      </c>
      <c r="B332" s="7" t="s">
        <v>293</v>
      </c>
      <c r="C332" s="8" t="s">
        <v>409</v>
      </c>
      <c r="D332" s="6">
        <v>57.34375</v>
      </c>
      <c r="E332" s="6">
        <v>57.421875</v>
      </c>
      <c r="F332" s="6">
        <v>1.875</v>
      </c>
      <c r="G332" s="6" t="s">
        <v>18</v>
      </c>
      <c r="H332" s="9">
        <f t="shared" si="1"/>
        <v>57.3828125</v>
      </c>
      <c r="I332" s="6">
        <f>DAYS(C332,Context!$C$19)</f>
        <v>9487</v>
      </c>
      <c r="J332" s="10">
        <f>ACCRINT(L332,K332,Context!$C$19,F332/100,100,2,1)</f>
        <v>0.0466160221</v>
      </c>
      <c r="K332" s="11">
        <f>COUPNCD(Context!$C$19,C332,2,1)</f>
        <v>45884</v>
      </c>
      <c r="L332" s="11">
        <f>COUPPCD(Context!$C$19,C332,2,1)</f>
        <v>45703</v>
      </c>
      <c r="M332" s="9">
        <f t="shared" si="2"/>
        <v>57.42942852</v>
      </c>
      <c r="N332" s="6">
        <f>(C332-Context!$C$19)/365.25</f>
        <v>25.97399042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 t="s">
        <v>15</v>
      </c>
      <c r="B333" s="7" t="s">
        <v>297</v>
      </c>
      <c r="C333" s="8" t="s">
        <v>410</v>
      </c>
      <c r="D333" s="6">
        <v>64.671875</v>
      </c>
      <c r="E333" s="6">
        <v>64.765625</v>
      </c>
      <c r="F333" s="6">
        <v>2.375</v>
      </c>
      <c r="G333" s="6" t="s">
        <v>18</v>
      </c>
      <c r="H333" s="9">
        <f t="shared" si="1"/>
        <v>64.71875</v>
      </c>
      <c r="I333" s="6">
        <f>DAYS(C333,Context!$C$19)</f>
        <v>9576</v>
      </c>
      <c r="J333" s="10">
        <f>ACCRINT(L333,K333,Context!$C$19,F333/100,100,2,1)</f>
        <v>0.6626381215</v>
      </c>
      <c r="K333" s="11">
        <f>COUPNCD(Context!$C$19,C333,2,1)</f>
        <v>45792</v>
      </c>
      <c r="L333" s="11">
        <f>COUPPCD(Context!$C$19,C333,2,1)</f>
        <v>45611</v>
      </c>
      <c r="M333" s="9">
        <f t="shared" si="2"/>
        <v>65.38138812</v>
      </c>
      <c r="N333" s="6">
        <f>(C333-Context!$C$19)/365.25</f>
        <v>26.21765914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 t="s">
        <v>15</v>
      </c>
      <c r="B334" s="7" t="s">
        <v>302</v>
      </c>
      <c r="C334" s="8" t="s">
        <v>411</v>
      </c>
      <c r="D334" s="6">
        <v>58.890625</v>
      </c>
      <c r="E334" s="6">
        <v>58.96875</v>
      </c>
      <c r="F334" s="6">
        <v>2.0</v>
      </c>
      <c r="G334" s="6" t="s">
        <v>18</v>
      </c>
      <c r="H334" s="9">
        <f t="shared" si="1"/>
        <v>58.9296875</v>
      </c>
      <c r="I334" s="6">
        <f>DAYS(C334,Context!$C$19)</f>
        <v>9668</v>
      </c>
      <c r="J334" s="10">
        <f>ACCRINT(L334,K334,Context!$C$19,F334/100,100,2,1)</f>
        <v>0.04972375691</v>
      </c>
      <c r="K334" s="11">
        <f>COUPNCD(Context!$C$19,C334,2,1)</f>
        <v>45884</v>
      </c>
      <c r="L334" s="11">
        <f>COUPPCD(Context!$C$19,C334,2,1)</f>
        <v>45703</v>
      </c>
      <c r="M334" s="9">
        <f t="shared" si="2"/>
        <v>58.97941126</v>
      </c>
      <c r="N334" s="6">
        <f>(C334-Context!$C$19)/365.25</f>
        <v>26.46954141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 t="s">
        <v>15</v>
      </c>
      <c r="B335" s="7" t="s">
        <v>307</v>
      </c>
      <c r="C335" s="8" t="s">
        <v>412</v>
      </c>
      <c r="D335" s="6">
        <v>56.890625</v>
      </c>
      <c r="E335" s="6">
        <v>56.96875</v>
      </c>
      <c r="F335" s="6">
        <v>1.875</v>
      </c>
      <c r="G335" s="6" t="s">
        <v>18</v>
      </c>
      <c r="H335" s="9">
        <f t="shared" si="1"/>
        <v>56.9296875</v>
      </c>
      <c r="I335" s="6">
        <f>DAYS(C335,Context!$C$19)</f>
        <v>9760</v>
      </c>
      <c r="J335" s="10">
        <f>ACCRINT(L335,K335,Context!$C$19,F335/100,100,2,1)</f>
        <v>0.5231353591</v>
      </c>
      <c r="K335" s="11">
        <f>COUPNCD(Context!$C$19,C335,2,1)</f>
        <v>45792</v>
      </c>
      <c r="L335" s="11">
        <f>COUPPCD(Context!$C$19,C335,2,1)</f>
        <v>45611</v>
      </c>
      <c r="M335" s="9">
        <f t="shared" si="2"/>
        <v>57.45282286</v>
      </c>
      <c r="N335" s="6">
        <f>(C335-Context!$C$19)/365.25</f>
        <v>26.72142368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 t="s">
        <v>15</v>
      </c>
      <c r="B336" s="7" t="s">
        <v>312</v>
      </c>
      <c r="C336" s="8" t="s">
        <v>413</v>
      </c>
      <c r="D336" s="6">
        <v>62.421875</v>
      </c>
      <c r="E336" s="6">
        <v>62.5</v>
      </c>
      <c r="F336" s="6">
        <v>2.25</v>
      </c>
      <c r="G336" s="6" t="s">
        <v>18</v>
      </c>
      <c r="H336" s="9">
        <f t="shared" si="1"/>
        <v>62.4609375</v>
      </c>
      <c r="I336" s="6">
        <f>DAYS(C336,Context!$C$19)</f>
        <v>9852</v>
      </c>
      <c r="J336" s="10">
        <f>ACCRINT(L336,K336,Context!$C$19,F336/100,100,2,1)</f>
        <v>0.05593922652</v>
      </c>
      <c r="K336" s="11">
        <f>COUPNCD(Context!$C$19,C336,2,1)</f>
        <v>45884</v>
      </c>
      <c r="L336" s="11">
        <f>COUPPCD(Context!$C$19,C336,2,1)</f>
        <v>45703</v>
      </c>
      <c r="M336" s="9">
        <f t="shared" si="2"/>
        <v>62.51687673</v>
      </c>
      <c r="N336" s="6">
        <f>(C336-Context!$C$19)/365.25</f>
        <v>26.97330595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 t="s">
        <v>15</v>
      </c>
      <c r="B337" s="7" t="s">
        <v>35</v>
      </c>
      <c r="C337" s="8" t="s">
        <v>414</v>
      </c>
      <c r="D337" s="6">
        <v>71.859375</v>
      </c>
      <c r="E337" s="6">
        <v>71.9375</v>
      </c>
      <c r="F337" s="6">
        <v>2.875</v>
      </c>
      <c r="G337" s="6" t="s">
        <v>18</v>
      </c>
      <c r="H337" s="9">
        <f t="shared" si="1"/>
        <v>71.8984375</v>
      </c>
      <c r="I337" s="6">
        <f>DAYS(C337,Context!$C$19)</f>
        <v>9942</v>
      </c>
      <c r="J337" s="10">
        <f>ACCRINT(L337,K337,Context!$C$19,F337/100,100,2,1)</f>
        <v>0.802140884</v>
      </c>
      <c r="K337" s="11">
        <f>COUPNCD(Context!$C$19,C337,2,1)</f>
        <v>45792</v>
      </c>
      <c r="L337" s="11">
        <f>COUPPCD(Context!$C$19,C337,2,1)</f>
        <v>45611</v>
      </c>
      <c r="M337" s="9">
        <f t="shared" si="2"/>
        <v>72.70057838</v>
      </c>
      <c r="N337" s="6">
        <f>(C337-Context!$C$19)/365.25</f>
        <v>27.21971253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 t="s">
        <v>15</v>
      </c>
      <c r="B338" s="7" t="s">
        <v>54</v>
      </c>
      <c r="C338" s="8" t="s">
        <v>415</v>
      </c>
      <c r="D338" s="6">
        <v>73.734375</v>
      </c>
      <c r="E338" s="6">
        <v>73.8125</v>
      </c>
      <c r="F338" s="6">
        <v>3.0</v>
      </c>
      <c r="G338" s="6" t="s">
        <v>18</v>
      </c>
      <c r="H338" s="9">
        <f t="shared" si="1"/>
        <v>73.7734375</v>
      </c>
      <c r="I338" s="6">
        <f>DAYS(C338,Context!$C$19)</f>
        <v>10034</v>
      </c>
      <c r="J338" s="10">
        <f>ACCRINT(L338,K338,Context!$C$19,F338/100,100,2,1)</f>
        <v>0.07458563536</v>
      </c>
      <c r="K338" s="11">
        <f>COUPNCD(Context!$C$19,C338,2,1)</f>
        <v>45884</v>
      </c>
      <c r="L338" s="11">
        <f>COUPPCD(Context!$C$19,C338,2,1)</f>
        <v>45703</v>
      </c>
      <c r="M338" s="9">
        <f t="shared" si="2"/>
        <v>73.84802314</v>
      </c>
      <c r="N338" s="6">
        <f>(C338-Context!$C$19)/365.25</f>
        <v>27.4715948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 t="s">
        <v>15</v>
      </c>
      <c r="B339" s="7" t="s">
        <v>72</v>
      </c>
      <c r="C339" s="8" t="s">
        <v>416</v>
      </c>
      <c r="D339" s="6">
        <v>89.328125</v>
      </c>
      <c r="E339" s="6">
        <v>89.40625</v>
      </c>
      <c r="F339" s="6">
        <v>4.0</v>
      </c>
      <c r="G339" s="6" t="s">
        <v>18</v>
      </c>
      <c r="H339" s="9">
        <f t="shared" si="1"/>
        <v>89.3671875</v>
      </c>
      <c r="I339" s="6">
        <f>DAYS(C339,Context!$C$19)</f>
        <v>10126</v>
      </c>
      <c r="J339" s="10">
        <f>ACCRINT(L339,K339,Context!$C$19,F339/100,100,2,1)</f>
        <v>1.116022099</v>
      </c>
      <c r="K339" s="11">
        <f>COUPNCD(Context!$C$19,C339,2,1)</f>
        <v>45792</v>
      </c>
      <c r="L339" s="11">
        <f>COUPPCD(Context!$C$19,C339,2,1)</f>
        <v>45611</v>
      </c>
      <c r="M339" s="9">
        <f t="shared" si="2"/>
        <v>90.4832096</v>
      </c>
      <c r="N339" s="6">
        <f>(C339-Context!$C$19)/365.25</f>
        <v>27.72347707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 t="s">
        <v>15</v>
      </c>
      <c r="B340" s="7" t="s">
        <v>93</v>
      </c>
      <c r="C340" s="8" t="s">
        <v>417</v>
      </c>
      <c r="D340" s="6">
        <v>83.421875</v>
      </c>
      <c r="E340" s="6">
        <v>83.515625</v>
      </c>
      <c r="F340" s="6">
        <v>3.625</v>
      </c>
      <c r="G340" s="6" t="s">
        <v>18</v>
      </c>
      <c r="H340" s="9">
        <f t="shared" si="1"/>
        <v>83.46875</v>
      </c>
      <c r="I340" s="6">
        <f>DAYS(C340,Context!$C$19)</f>
        <v>10218</v>
      </c>
      <c r="J340" s="10">
        <f>ACCRINT(L340,K340,Context!$C$19,F340/100,100,2,1)</f>
        <v>0.09012430939</v>
      </c>
      <c r="K340" s="11">
        <f>COUPNCD(Context!$C$19,C340,2,1)</f>
        <v>45884</v>
      </c>
      <c r="L340" s="11">
        <f>COUPPCD(Context!$C$19,C340,2,1)</f>
        <v>45703</v>
      </c>
      <c r="M340" s="9">
        <f t="shared" si="2"/>
        <v>83.55887431</v>
      </c>
      <c r="N340" s="6">
        <f>(C340-Context!$C$19)/365.25</f>
        <v>27.97535934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 t="s">
        <v>15</v>
      </c>
      <c r="B341" s="7" t="s">
        <v>111</v>
      </c>
      <c r="C341" s="8" t="s">
        <v>418</v>
      </c>
      <c r="D341" s="6">
        <v>83.4375</v>
      </c>
      <c r="E341" s="6">
        <v>83.515625</v>
      </c>
      <c r="F341" s="6">
        <v>3.625</v>
      </c>
      <c r="G341" s="6" t="s">
        <v>18</v>
      </c>
      <c r="H341" s="9">
        <f t="shared" si="1"/>
        <v>83.4765625</v>
      </c>
      <c r="I341" s="6">
        <f>DAYS(C341,Context!$C$19)</f>
        <v>10307</v>
      </c>
      <c r="J341" s="10">
        <f>ACCRINT(L341,K341,Context!$C$19,F341/100,100,2,1)</f>
        <v>1.011395028</v>
      </c>
      <c r="K341" s="11">
        <f>COUPNCD(Context!$C$19,C341,2,1)</f>
        <v>45792</v>
      </c>
      <c r="L341" s="11">
        <f>COUPPCD(Context!$C$19,C341,2,1)</f>
        <v>45611</v>
      </c>
      <c r="M341" s="9">
        <f t="shared" si="2"/>
        <v>84.48795753</v>
      </c>
      <c r="N341" s="6">
        <f>(C341-Context!$C$19)/365.25</f>
        <v>28.21902806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 t="s">
        <v>15</v>
      </c>
      <c r="B342" s="7" t="s">
        <v>133</v>
      </c>
      <c r="C342" s="8" t="s">
        <v>419</v>
      </c>
      <c r="D342" s="6">
        <v>91.359375</v>
      </c>
      <c r="E342" s="6">
        <v>91.4375</v>
      </c>
      <c r="F342" s="6">
        <v>4.125</v>
      </c>
      <c r="G342" s="6" t="s">
        <v>18</v>
      </c>
      <c r="H342" s="9">
        <f t="shared" si="1"/>
        <v>91.3984375</v>
      </c>
      <c r="I342" s="6">
        <f>DAYS(C342,Context!$C$19)</f>
        <v>10399</v>
      </c>
      <c r="J342" s="10">
        <f>ACCRINT(L342,K342,Context!$C$19,F342/100,100,2,1)</f>
        <v>0.1025552486</v>
      </c>
      <c r="K342" s="11">
        <f>COUPNCD(Context!$C$19,C342,2,1)</f>
        <v>45884</v>
      </c>
      <c r="L342" s="11">
        <f>COUPPCD(Context!$C$19,C342,2,1)</f>
        <v>45703</v>
      </c>
      <c r="M342" s="9">
        <f t="shared" si="2"/>
        <v>91.50099275</v>
      </c>
      <c r="N342" s="6">
        <f>(C342-Context!$C$19)/365.25</f>
        <v>28.47091034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 t="s">
        <v>15</v>
      </c>
      <c r="B343" s="7" t="s">
        <v>153</v>
      </c>
      <c r="C343" s="8" t="s">
        <v>420</v>
      </c>
      <c r="D343" s="6">
        <v>101.3125</v>
      </c>
      <c r="E343" s="6">
        <v>101.359375</v>
      </c>
      <c r="F343" s="6">
        <v>4.75</v>
      </c>
      <c r="G343" s="6" t="s">
        <v>18</v>
      </c>
      <c r="H343" s="9">
        <f t="shared" si="1"/>
        <v>101.3359375</v>
      </c>
      <c r="I343" s="6">
        <f>DAYS(C343,Context!$C$19)</f>
        <v>10491</v>
      </c>
      <c r="J343" s="10">
        <f>ACCRINT(L343,K343,Context!$C$19,F343/100,100,2,1)</f>
        <v>1.325276243</v>
      </c>
      <c r="K343" s="11">
        <f>COUPNCD(Context!$C$19,C343,2,1)</f>
        <v>45792</v>
      </c>
      <c r="L343" s="11">
        <f>COUPPCD(Context!$C$19,C343,2,1)</f>
        <v>45611</v>
      </c>
      <c r="M343" s="9">
        <f t="shared" si="2"/>
        <v>102.6612137</v>
      </c>
      <c r="N343" s="6">
        <f>(C343-Context!$C$19)/365.25</f>
        <v>28.72279261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 t="s">
        <v>15</v>
      </c>
      <c r="B344" s="7" t="s">
        <v>171</v>
      </c>
      <c r="C344" s="8" t="s">
        <v>421</v>
      </c>
      <c r="D344" s="6">
        <v>93.375</v>
      </c>
      <c r="E344" s="6">
        <v>93.421875</v>
      </c>
      <c r="F344" s="6">
        <v>4.25</v>
      </c>
      <c r="G344" s="6" t="s">
        <v>18</v>
      </c>
      <c r="H344" s="9">
        <f t="shared" si="1"/>
        <v>93.3984375</v>
      </c>
      <c r="I344" s="6">
        <f>DAYS(C344,Context!$C$19)</f>
        <v>10583</v>
      </c>
      <c r="J344" s="10">
        <f>ACCRINT(L344,K344,Context!$C$19,F344/100,100,2,1)</f>
        <v>0.1056629834</v>
      </c>
      <c r="K344" s="11">
        <f>COUPNCD(Context!$C$19,C344,2,1)</f>
        <v>45884</v>
      </c>
      <c r="L344" s="11">
        <f>COUPPCD(Context!$C$19,C344,2,1)</f>
        <v>45703</v>
      </c>
      <c r="M344" s="9">
        <f t="shared" si="2"/>
        <v>93.50410048</v>
      </c>
      <c r="N344" s="6">
        <f>(C344-Context!$C$19)/365.25</f>
        <v>28.97467488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 t="s">
        <v>15</v>
      </c>
      <c r="B345" s="7" t="s">
        <v>185</v>
      </c>
      <c r="C345" s="8" t="s">
        <v>422</v>
      </c>
      <c r="D345" s="6">
        <v>99.4375</v>
      </c>
      <c r="E345" s="6">
        <v>99.484375</v>
      </c>
      <c r="F345" s="6">
        <v>4.625</v>
      </c>
      <c r="G345" s="6" t="s">
        <v>18</v>
      </c>
      <c r="H345" s="9">
        <f t="shared" si="1"/>
        <v>99.4609375</v>
      </c>
      <c r="I345" s="6">
        <f>DAYS(C345,Context!$C$19)</f>
        <v>10672</v>
      </c>
      <c r="J345" s="10">
        <f>ACCRINT(L345,K345,Context!$C$19,F345/100,100,2,1)</f>
        <v>1.290400552</v>
      </c>
      <c r="K345" s="11">
        <f>COUPNCD(Context!$C$19,C345,2,1)</f>
        <v>45792</v>
      </c>
      <c r="L345" s="11">
        <f>COUPPCD(Context!$C$19,C345,2,1)</f>
        <v>45611</v>
      </c>
      <c r="M345" s="9">
        <f t="shared" si="2"/>
        <v>100.7513381</v>
      </c>
      <c r="N345" s="6">
        <f>(C345-Context!$C$19)/365.25</f>
        <v>29.2183436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 t="s">
        <v>15</v>
      </c>
      <c r="B346" s="7" t="s">
        <v>199</v>
      </c>
      <c r="C346" s="8" t="s">
        <v>423</v>
      </c>
      <c r="D346" s="6">
        <v>93.53125</v>
      </c>
      <c r="E346" s="6">
        <v>93.578125</v>
      </c>
      <c r="F346" s="6">
        <v>4.25</v>
      </c>
      <c r="G346" s="6" t="s">
        <v>18</v>
      </c>
      <c r="H346" s="9">
        <f t="shared" si="1"/>
        <v>93.5546875</v>
      </c>
      <c r="I346" s="6">
        <f>DAYS(C346,Context!$C$19)</f>
        <v>10764</v>
      </c>
      <c r="J346" s="10">
        <f>ACCRINT(L346,K346,Context!$C$19,F346/100,100,2,1)</f>
        <v>0.1056629834</v>
      </c>
      <c r="K346" s="11">
        <f>COUPNCD(Context!$C$19,C346,2,1)</f>
        <v>45884</v>
      </c>
      <c r="L346" s="11">
        <f>COUPPCD(Context!$C$19,C346,2,1)</f>
        <v>45703</v>
      </c>
      <c r="M346" s="9">
        <f t="shared" si="2"/>
        <v>93.66035048</v>
      </c>
      <c r="N346" s="6">
        <f>(C346-Context!$C$19)/365.25</f>
        <v>29.47022587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 t="s">
        <v>15</v>
      </c>
      <c r="B347" s="7" t="s">
        <v>212</v>
      </c>
      <c r="C347" s="8" t="s">
        <v>424</v>
      </c>
      <c r="D347" s="6">
        <v>97.625</v>
      </c>
      <c r="E347" s="6">
        <v>97.65625</v>
      </c>
      <c r="F347" s="6">
        <v>4.5</v>
      </c>
      <c r="G347" s="6" t="s">
        <v>18</v>
      </c>
      <c r="H347" s="9">
        <f t="shared" si="1"/>
        <v>97.640625</v>
      </c>
      <c r="I347" s="6">
        <f>DAYS(C347,Context!$C$19)</f>
        <v>10856</v>
      </c>
      <c r="J347" s="10">
        <f>ACCRINT(L347,K347,Context!$C$19,F347/100,100,2,1)</f>
        <v>1.255524862</v>
      </c>
      <c r="K347" s="11">
        <f>COUPNCD(Context!$C$19,C347,2,1)</f>
        <v>45792</v>
      </c>
      <c r="L347" s="11">
        <f>COUPPCD(Context!$C$19,C347,2,1)</f>
        <v>45611</v>
      </c>
      <c r="M347" s="9">
        <f t="shared" si="2"/>
        <v>98.89614986</v>
      </c>
      <c r="N347" s="6">
        <f>(C347-Context!$C$19)/365.25</f>
        <v>29.72210815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 t="s">
        <v>15</v>
      </c>
      <c r="B348" s="7" t="s">
        <v>226</v>
      </c>
      <c r="C348" s="8" t="s">
        <v>425</v>
      </c>
      <c r="D348" s="6">
        <v>99.765625</v>
      </c>
      <c r="E348" s="6">
        <v>99.796875</v>
      </c>
      <c r="F348" s="6">
        <v>4.625</v>
      </c>
      <c r="G348" s="6" t="s">
        <v>18</v>
      </c>
      <c r="H348" s="9">
        <f t="shared" si="1"/>
        <v>99.78125</v>
      </c>
      <c r="I348" s="6">
        <f>DAYS(C348,Context!$C$19)</f>
        <v>10948</v>
      </c>
      <c r="J348" s="10">
        <f>ACCRINT(L348,K348,Context!$C$19,F348/100,100,2,1)</f>
        <v>0.1149861878</v>
      </c>
      <c r="K348" s="11">
        <f>COUPNCD(Context!$C$19,C348,2,1)</f>
        <v>45884</v>
      </c>
      <c r="L348" s="11">
        <f>COUPPCD(Context!$C$19,C348,2,1)</f>
        <v>45703</v>
      </c>
      <c r="M348" s="9">
        <f t="shared" si="2"/>
        <v>99.89623619</v>
      </c>
      <c r="N348" s="6">
        <f>(C348-Context!$C$19)/365.25</f>
        <v>29.97399042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7"/>
      <c r="C349" s="8"/>
      <c r="D349" s="6"/>
      <c r="E349" s="6"/>
      <c r="F349" s="6"/>
      <c r="G349" s="6"/>
      <c r="H349" s="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7"/>
      <c r="C350" s="8"/>
      <c r="D350" s="6"/>
      <c r="E350" s="6"/>
      <c r="F350" s="6"/>
      <c r="G350" s="6"/>
      <c r="H350" s="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7"/>
      <c r="C351" s="8"/>
      <c r="D351" s="6"/>
      <c r="E351" s="6"/>
      <c r="F351" s="6"/>
      <c r="G351" s="6"/>
      <c r="H351" s="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7"/>
      <c r="C352" s="8"/>
      <c r="D352" s="6"/>
      <c r="E352" s="6"/>
      <c r="F352" s="6"/>
      <c r="G352" s="6"/>
      <c r="H352" s="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7"/>
      <c r="C353" s="8"/>
      <c r="D353" s="6"/>
      <c r="E353" s="6"/>
      <c r="F353" s="6"/>
      <c r="G353" s="6"/>
      <c r="H353" s="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7"/>
      <c r="C354" s="8"/>
      <c r="D354" s="6"/>
      <c r="E354" s="6"/>
      <c r="F354" s="6"/>
      <c r="G354" s="6"/>
      <c r="H354" s="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7"/>
      <c r="C355" s="8"/>
      <c r="D355" s="6"/>
      <c r="E355" s="6"/>
      <c r="F355" s="6"/>
      <c r="G355" s="6"/>
      <c r="H355" s="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7"/>
      <c r="C356" s="8"/>
      <c r="D356" s="6"/>
      <c r="E356" s="6"/>
      <c r="F356" s="6"/>
      <c r="G356" s="6"/>
      <c r="H356" s="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7"/>
      <c r="C357" s="8"/>
      <c r="D357" s="6"/>
      <c r="E357" s="6"/>
      <c r="F357" s="6"/>
      <c r="G357" s="6"/>
      <c r="H357" s="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7"/>
      <c r="C358" s="8"/>
      <c r="D358" s="6"/>
      <c r="E358" s="6"/>
      <c r="F358" s="6"/>
      <c r="G358" s="6"/>
      <c r="H358" s="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7"/>
      <c r="C359" s="8"/>
      <c r="D359" s="6"/>
      <c r="E359" s="6"/>
      <c r="F359" s="6"/>
      <c r="G359" s="6"/>
      <c r="H359" s="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7"/>
      <c r="C360" s="8"/>
      <c r="D360" s="6"/>
      <c r="E360" s="6"/>
      <c r="F360" s="6"/>
      <c r="G360" s="6"/>
      <c r="H360" s="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7"/>
      <c r="C361" s="8"/>
      <c r="D361" s="6"/>
      <c r="E361" s="6"/>
      <c r="F361" s="6"/>
      <c r="G361" s="6"/>
      <c r="H361" s="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7"/>
      <c r="C362" s="8"/>
      <c r="D362" s="6"/>
      <c r="E362" s="6"/>
      <c r="F362" s="6"/>
      <c r="G362" s="6"/>
      <c r="H362" s="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7"/>
      <c r="C363" s="8"/>
      <c r="D363" s="6"/>
      <c r="E363" s="6"/>
      <c r="F363" s="6"/>
      <c r="G363" s="6"/>
      <c r="H363" s="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7"/>
      <c r="C364" s="8"/>
      <c r="D364" s="6"/>
      <c r="E364" s="6"/>
      <c r="F364" s="6"/>
      <c r="G364" s="6"/>
      <c r="H364" s="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7"/>
      <c r="C365" s="8"/>
      <c r="D365" s="6"/>
      <c r="E365" s="6"/>
      <c r="F365" s="6"/>
      <c r="G365" s="6"/>
      <c r="H365" s="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7"/>
      <c r="C366" s="8"/>
      <c r="D366" s="6"/>
      <c r="E366" s="6"/>
      <c r="F366" s="6"/>
      <c r="G366" s="6"/>
      <c r="H366" s="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7"/>
      <c r="C367" s="8"/>
      <c r="D367" s="6"/>
      <c r="E367" s="6"/>
      <c r="F367" s="6"/>
      <c r="G367" s="6"/>
      <c r="H367" s="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7"/>
      <c r="C368" s="8"/>
      <c r="D368" s="6"/>
      <c r="E368" s="6"/>
      <c r="F368" s="6"/>
      <c r="G368" s="6"/>
      <c r="H368" s="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7"/>
      <c r="C369" s="8"/>
      <c r="D369" s="6"/>
      <c r="E369" s="6"/>
      <c r="F369" s="6"/>
      <c r="G369" s="6"/>
      <c r="H369" s="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7"/>
      <c r="C370" s="8"/>
      <c r="D370" s="6"/>
      <c r="E370" s="6"/>
      <c r="F370" s="6"/>
      <c r="G370" s="6"/>
      <c r="H370" s="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7"/>
      <c r="C371" s="8"/>
      <c r="D371" s="6"/>
      <c r="E371" s="6"/>
      <c r="F371" s="6"/>
      <c r="G371" s="6"/>
      <c r="H371" s="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7"/>
      <c r="C372" s="8"/>
      <c r="D372" s="6"/>
      <c r="E372" s="6"/>
      <c r="F372" s="6"/>
      <c r="G372" s="6"/>
      <c r="H372" s="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7"/>
      <c r="C373" s="8"/>
      <c r="D373" s="6"/>
      <c r="E373" s="6"/>
      <c r="F373" s="6"/>
      <c r="G373" s="6"/>
      <c r="H373" s="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7"/>
      <c r="C374" s="8"/>
      <c r="D374" s="6"/>
      <c r="E374" s="6"/>
      <c r="F374" s="6"/>
      <c r="G374" s="6"/>
      <c r="H374" s="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7"/>
      <c r="C375" s="8"/>
      <c r="D375" s="6"/>
      <c r="E375" s="6"/>
      <c r="F375" s="6"/>
      <c r="G375" s="6"/>
      <c r="H375" s="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7"/>
      <c r="C376" s="8"/>
      <c r="D376" s="6"/>
      <c r="E376" s="6"/>
      <c r="F376" s="6"/>
      <c r="G376" s="6"/>
      <c r="H376" s="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7"/>
      <c r="C377" s="8"/>
      <c r="D377" s="6"/>
      <c r="E377" s="6"/>
      <c r="F377" s="6"/>
      <c r="G377" s="6"/>
      <c r="H377" s="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7"/>
      <c r="C378" s="8"/>
      <c r="D378" s="6"/>
      <c r="E378" s="6"/>
      <c r="F378" s="6"/>
      <c r="G378" s="6"/>
      <c r="H378" s="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7"/>
      <c r="C379" s="8"/>
      <c r="D379" s="6"/>
      <c r="E379" s="6"/>
      <c r="F379" s="6"/>
      <c r="G379" s="6"/>
      <c r="H379" s="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7"/>
      <c r="C380" s="8"/>
      <c r="D380" s="6"/>
      <c r="E380" s="6"/>
      <c r="F380" s="6"/>
      <c r="G380" s="6"/>
      <c r="H380" s="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7"/>
      <c r="C381" s="8"/>
      <c r="D381" s="6"/>
      <c r="E381" s="6"/>
      <c r="F381" s="6"/>
      <c r="G381" s="6"/>
      <c r="H381" s="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7"/>
      <c r="C382" s="8"/>
      <c r="D382" s="6"/>
      <c r="E382" s="6"/>
      <c r="F382" s="6"/>
      <c r="G382" s="6"/>
      <c r="H382" s="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7"/>
      <c r="C383" s="8"/>
      <c r="D383" s="6"/>
      <c r="E383" s="6"/>
      <c r="F383" s="6"/>
      <c r="G383" s="6"/>
      <c r="H383" s="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7"/>
      <c r="C384" s="8"/>
      <c r="D384" s="6"/>
      <c r="E384" s="6"/>
      <c r="F384" s="6"/>
      <c r="G384" s="6"/>
      <c r="H384" s="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7"/>
      <c r="C385" s="8"/>
      <c r="D385" s="6"/>
      <c r="E385" s="6"/>
      <c r="F385" s="6"/>
      <c r="G385" s="6"/>
      <c r="H385" s="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7"/>
      <c r="C386" s="8"/>
      <c r="D386" s="6"/>
      <c r="E386" s="6"/>
      <c r="F386" s="6"/>
      <c r="G386" s="6"/>
      <c r="H386" s="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7"/>
      <c r="C387" s="8"/>
      <c r="D387" s="6"/>
      <c r="E387" s="6"/>
      <c r="F387" s="6"/>
      <c r="G387" s="6"/>
      <c r="H387" s="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7"/>
      <c r="C388" s="8"/>
      <c r="D388" s="6"/>
      <c r="E388" s="6"/>
      <c r="F388" s="6"/>
      <c r="G388" s="6"/>
      <c r="H388" s="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7"/>
      <c r="C389" s="8"/>
      <c r="D389" s="6"/>
      <c r="E389" s="6"/>
      <c r="F389" s="6"/>
      <c r="G389" s="6"/>
      <c r="H389" s="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7"/>
      <c r="C390" s="8"/>
      <c r="D390" s="6"/>
      <c r="E390" s="6"/>
      <c r="F390" s="6"/>
      <c r="G390" s="6"/>
      <c r="H390" s="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7"/>
      <c r="C391" s="8"/>
      <c r="D391" s="6"/>
      <c r="E391" s="6"/>
      <c r="F391" s="6"/>
      <c r="G391" s="6"/>
      <c r="H391" s="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7"/>
      <c r="C392" s="8"/>
      <c r="D392" s="6"/>
      <c r="E392" s="6"/>
      <c r="F392" s="6"/>
      <c r="G392" s="6"/>
      <c r="H392" s="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7"/>
      <c r="C393" s="8"/>
      <c r="D393" s="6"/>
      <c r="E393" s="6"/>
      <c r="F393" s="6"/>
      <c r="G393" s="6"/>
      <c r="H393" s="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7"/>
      <c r="C394" s="8"/>
      <c r="D394" s="6"/>
      <c r="E394" s="6"/>
      <c r="F394" s="6"/>
      <c r="G394" s="6"/>
      <c r="H394" s="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7"/>
      <c r="C395" s="8"/>
      <c r="D395" s="6"/>
      <c r="E395" s="6"/>
      <c r="F395" s="6"/>
      <c r="G395" s="6"/>
      <c r="H395" s="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7"/>
      <c r="C396" s="8"/>
      <c r="D396" s="6"/>
      <c r="E396" s="6"/>
      <c r="F396" s="6"/>
      <c r="G396" s="6"/>
      <c r="H396" s="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7"/>
      <c r="C397" s="8"/>
      <c r="D397" s="6"/>
      <c r="E397" s="6"/>
      <c r="F397" s="6"/>
      <c r="G397" s="6"/>
      <c r="H397" s="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7"/>
      <c r="C398" s="8"/>
      <c r="D398" s="6"/>
      <c r="E398" s="6"/>
      <c r="F398" s="6"/>
      <c r="G398" s="6"/>
      <c r="H398" s="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7"/>
      <c r="C399" s="8"/>
      <c r="D399" s="6"/>
      <c r="E399" s="6"/>
      <c r="F399" s="6"/>
      <c r="G399" s="6"/>
      <c r="H399" s="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7"/>
      <c r="C400" s="8"/>
      <c r="D400" s="6"/>
      <c r="E400" s="6"/>
      <c r="F400" s="6"/>
      <c r="G400" s="6"/>
      <c r="H400" s="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7"/>
      <c r="C401" s="8"/>
      <c r="D401" s="6"/>
      <c r="E401" s="6"/>
      <c r="F401" s="6"/>
      <c r="G401" s="6"/>
      <c r="H401" s="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7"/>
      <c r="C402" s="8"/>
      <c r="D402" s="6"/>
      <c r="E402" s="6"/>
      <c r="F402" s="6"/>
      <c r="G402" s="6"/>
      <c r="H402" s="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7"/>
      <c r="C403" s="8"/>
      <c r="D403" s="6"/>
      <c r="E403" s="6"/>
      <c r="F403" s="6"/>
      <c r="G403" s="6"/>
      <c r="H403" s="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7"/>
      <c r="C404" s="8"/>
      <c r="D404" s="6"/>
      <c r="E404" s="6"/>
      <c r="F404" s="6"/>
      <c r="G404" s="6"/>
      <c r="H404" s="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7"/>
      <c r="C405" s="8"/>
      <c r="D405" s="6"/>
      <c r="E405" s="6"/>
      <c r="F405" s="6"/>
      <c r="G405" s="6"/>
      <c r="H405" s="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7"/>
      <c r="C406" s="8"/>
      <c r="D406" s="6"/>
      <c r="E406" s="6"/>
      <c r="F406" s="6"/>
      <c r="G406" s="6"/>
      <c r="H406" s="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7"/>
      <c r="C407" s="8"/>
      <c r="D407" s="6"/>
      <c r="E407" s="6"/>
      <c r="F407" s="6"/>
      <c r="G407" s="6"/>
      <c r="H407" s="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7"/>
      <c r="C408" s="8"/>
      <c r="D408" s="6"/>
      <c r="E408" s="6"/>
      <c r="F408" s="6"/>
      <c r="G408" s="6"/>
      <c r="H408" s="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7"/>
      <c r="C409" s="8"/>
      <c r="D409" s="6"/>
      <c r="E409" s="6"/>
      <c r="F409" s="6"/>
      <c r="G409" s="6"/>
      <c r="H409" s="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7"/>
      <c r="C410" s="8"/>
      <c r="D410" s="6"/>
      <c r="E410" s="6"/>
      <c r="F410" s="6"/>
      <c r="G410" s="6"/>
      <c r="H410" s="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7"/>
      <c r="C411" s="8"/>
      <c r="D411" s="6"/>
      <c r="E411" s="6"/>
      <c r="F411" s="6"/>
      <c r="G411" s="6"/>
      <c r="H411" s="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7"/>
      <c r="C412" s="8"/>
      <c r="D412" s="6"/>
      <c r="E412" s="6"/>
      <c r="F412" s="6"/>
      <c r="G412" s="6"/>
      <c r="H412" s="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7"/>
      <c r="C413" s="8"/>
      <c r="D413" s="6"/>
      <c r="E413" s="6"/>
      <c r="F413" s="6"/>
      <c r="G413" s="6"/>
      <c r="H413" s="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7"/>
      <c r="C414" s="8"/>
      <c r="D414" s="6"/>
      <c r="E414" s="6"/>
      <c r="F414" s="6"/>
      <c r="G414" s="6"/>
      <c r="H414" s="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7"/>
      <c r="C415" s="8"/>
      <c r="D415" s="6"/>
      <c r="E415" s="6"/>
      <c r="F415" s="6"/>
      <c r="G415" s="6"/>
      <c r="H415" s="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7"/>
      <c r="C416" s="8"/>
      <c r="D416" s="6"/>
      <c r="E416" s="6"/>
      <c r="F416" s="6"/>
      <c r="G416" s="6"/>
      <c r="H416" s="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7"/>
      <c r="C417" s="8"/>
      <c r="D417" s="6"/>
      <c r="E417" s="6"/>
      <c r="F417" s="6"/>
      <c r="G417" s="6"/>
      <c r="H417" s="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7"/>
      <c r="C418" s="8"/>
      <c r="D418" s="6"/>
      <c r="E418" s="6"/>
      <c r="F418" s="6"/>
      <c r="G418" s="6"/>
      <c r="H418" s="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7"/>
      <c r="C419" s="8"/>
      <c r="D419" s="6"/>
      <c r="E419" s="6"/>
      <c r="F419" s="6"/>
      <c r="G419" s="6"/>
      <c r="H419" s="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7"/>
      <c r="C420" s="8"/>
      <c r="D420" s="6"/>
      <c r="E420" s="6"/>
      <c r="F420" s="6"/>
      <c r="G420" s="6"/>
      <c r="H420" s="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7"/>
      <c r="C421" s="8"/>
      <c r="D421" s="6"/>
      <c r="E421" s="6"/>
      <c r="F421" s="6"/>
      <c r="G421" s="6"/>
      <c r="H421" s="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7"/>
      <c r="C422" s="8"/>
      <c r="D422" s="6"/>
      <c r="E422" s="6"/>
      <c r="F422" s="6"/>
      <c r="G422" s="6"/>
      <c r="H422" s="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7"/>
      <c r="C423" s="8"/>
      <c r="D423" s="6"/>
      <c r="E423" s="6"/>
      <c r="F423" s="6"/>
      <c r="G423" s="6"/>
      <c r="H423" s="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7"/>
      <c r="C424" s="8"/>
      <c r="D424" s="6"/>
      <c r="E424" s="6"/>
      <c r="F424" s="6"/>
      <c r="G424" s="6"/>
      <c r="H424" s="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7"/>
      <c r="C425" s="8"/>
      <c r="D425" s="6"/>
      <c r="E425" s="6"/>
      <c r="F425" s="6"/>
      <c r="G425" s="6"/>
      <c r="H425" s="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7"/>
      <c r="C426" s="8"/>
      <c r="D426" s="6"/>
      <c r="E426" s="6"/>
      <c r="F426" s="6"/>
      <c r="G426" s="6"/>
      <c r="H426" s="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7"/>
      <c r="C427" s="8"/>
      <c r="D427" s="6"/>
      <c r="E427" s="6"/>
      <c r="F427" s="6"/>
      <c r="G427" s="6"/>
      <c r="H427" s="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7"/>
      <c r="C428" s="8"/>
      <c r="D428" s="6"/>
      <c r="E428" s="6"/>
      <c r="F428" s="6"/>
      <c r="G428" s="6"/>
      <c r="H428" s="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7"/>
      <c r="C429" s="8"/>
      <c r="D429" s="6"/>
      <c r="E429" s="6"/>
      <c r="F429" s="6"/>
      <c r="G429" s="6"/>
      <c r="H429" s="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7"/>
      <c r="C430" s="8"/>
      <c r="D430" s="6"/>
      <c r="E430" s="6"/>
      <c r="F430" s="6"/>
      <c r="G430" s="6"/>
      <c r="H430" s="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7"/>
      <c r="C431" s="8"/>
      <c r="D431" s="6"/>
      <c r="E431" s="6"/>
      <c r="F431" s="6"/>
      <c r="G431" s="6"/>
      <c r="H431" s="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7"/>
      <c r="C432" s="8"/>
      <c r="D432" s="6"/>
      <c r="E432" s="6"/>
      <c r="F432" s="6"/>
      <c r="G432" s="6"/>
      <c r="H432" s="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7"/>
      <c r="C433" s="8"/>
      <c r="D433" s="6"/>
      <c r="E433" s="6"/>
      <c r="F433" s="6"/>
      <c r="G433" s="6"/>
      <c r="H433" s="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7"/>
      <c r="C434" s="8"/>
      <c r="D434" s="6"/>
      <c r="E434" s="6"/>
      <c r="F434" s="6"/>
      <c r="G434" s="6"/>
      <c r="H434" s="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7"/>
      <c r="C435" s="8"/>
      <c r="D435" s="6"/>
      <c r="E435" s="6"/>
      <c r="F435" s="6"/>
      <c r="G435" s="6"/>
      <c r="H435" s="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7"/>
      <c r="C436" s="8"/>
      <c r="D436" s="6"/>
      <c r="E436" s="6"/>
      <c r="F436" s="6"/>
      <c r="G436" s="6"/>
      <c r="H436" s="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7"/>
      <c r="C437" s="8"/>
      <c r="D437" s="6"/>
      <c r="E437" s="6"/>
      <c r="F437" s="6"/>
      <c r="G437" s="6"/>
      <c r="H437" s="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7"/>
      <c r="C438" s="8"/>
      <c r="D438" s="6"/>
      <c r="E438" s="6"/>
      <c r="F438" s="6"/>
      <c r="G438" s="6"/>
      <c r="H438" s="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7"/>
      <c r="C439" s="8"/>
      <c r="D439" s="6"/>
      <c r="E439" s="6"/>
      <c r="F439" s="6"/>
      <c r="G439" s="6"/>
      <c r="H439" s="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7"/>
      <c r="C440" s="8"/>
      <c r="D440" s="6"/>
      <c r="E440" s="6"/>
      <c r="F440" s="6"/>
      <c r="G440" s="6"/>
      <c r="H440" s="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7"/>
      <c r="C441" s="8"/>
      <c r="D441" s="6"/>
      <c r="E441" s="6"/>
      <c r="F441" s="6"/>
      <c r="G441" s="6"/>
      <c r="H441" s="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7"/>
      <c r="C442" s="8"/>
      <c r="D442" s="6"/>
      <c r="E442" s="6"/>
      <c r="F442" s="6"/>
      <c r="G442" s="6"/>
      <c r="H442" s="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7"/>
      <c r="C443" s="8"/>
      <c r="D443" s="6"/>
      <c r="E443" s="6"/>
      <c r="F443" s="6"/>
      <c r="G443" s="6"/>
      <c r="H443" s="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7"/>
      <c r="C444" s="8"/>
      <c r="D444" s="6"/>
      <c r="E444" s="6"/>
      <c r="F444" s="6"/>
      <c r="G444" s="6"/>
      <c r="H444" s="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7"/>
      <c r="C445" s="8"/>
      <c r="D445" s="6"/>
      <c r="E445" s="6"/>
      <c r="F445" s="6"/>
      <c r="G445" s="6"/>
      <c r="H445" s="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7"/>
      <c r="C446" s="8"/>
      <c r="D446" s="6"/>
      <c r="E446" s="6"/>
      <c r="F446" s="6"/>
      <c r="G446" s="6"/>
      <c r="H446" s="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7"/>
      <c r="C447" s="8"/>
      <c r="D447" s="6"/>
      <c r="E447" s="6"/>
      <c r="F447" s="6"/>
      <c r="G447" s="6"/>
      <c r="H447" s="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7"/>
      <c r="C448" s="8"/>
      <c r="D448" s="6"/>
      <c r="E448" s="6"/>
      <c r="F448" s="6"/>
      <c r="G448" s="6"/>
      <c r="H448" s="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7"/>
      <c r="C449" s="8"/>
      <c r="D449" s="6"/>
      <c r="E449" s="6"/>
      <c r="F449" s="6"/>
      <c r="G449" s="6"/>
      <c r="H449" s="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7"/>
      <c r="C450" s="8"/>
      <c r="D450" s="6"/>
      <c r="E450" s="6"/>
      <c r="F450" s="6"/>
      <c r="G450" s="6"/>
      <c r="H450" s="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7"/>
      <c r="C451" s="8"/>
      <c r="D451" s="6"/>
      <c r="E451" s="6"/>
      <c r="F451" s="6"/>
      <c r="G451" s="6"/>
      <c r="H451" s="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7"/>
      <c r="C452" s="8"/>
      <c r="D452" s="6"/>
      <c r="E452" s="6"/>
      <c r="F452" s="6"/>
      <c r="G452" s="6"/>
      <c r="H452" s="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7"/>
      <c r="C453" s="8"/>
      <c r="D453" s="6"/>
      <c r="E453" s="6"/>
      <c r="F453" s="6"/>
      <c r="G453" s="6"/>
      <c r="H453" s="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7"/>
      <c r="C454" s="8"/>
      <c r="D454" s="6"/>
      <c r="E454" s="6"/>
      <c r="F454" s="6"/>
      <c r="G454" s="6"/>
      <c r="H454" s="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7"/>
      <c r="C455" s="8"/>
      <c r="D455" s="6"/>
      <c r="E455" s="6"/>
      <c r="F455" s="6"/>
      <c r="G455" s="6"/>
      <c r="H455" s="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7"/>
      <c r="C456" s="8"/>
      <c r="D456" s="6"/>
      <c r="E456" s="6"/>
      <c r="F456" s="6"/>
      <c r="G456" s="6"/>
      <c r="H456" s="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7"/>
      <c r="C457" s="8"/>
      <c r="D457" s="6"/>
      <c r="E457" s="6"/>
      <c r="F457" s="6"/>
      <c r="G457" s="6"/>
      <c r="H457" s="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7"/>
      <c r="C458" s="8"/>
      <c r="D458" s="6"/>
      <c r="E458" s="6"/>
      <c r="F458" s="6"/>
      <c r="G458" s="6"/>
      <c r="H458" s="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7"/>
      <c r="C459" s="8"/>
      <c r="D459" s="6"/>
      <c r="E459" s="6"/>
      <c r="F459" s="6"/>
      <c r="G459" s="6"/>
      <c r="H459" s="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7"/>
      <c r="C460" s="8"/>
      <c r="D460" s="6"/>
      <c r="E460" s="6"/>
      <c r="F460" s="6"/>
      <c r="G460" s="6"/>
      <c r="H460" s="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7"/>
      <c r="C461" s="8"/>
      <c r="D461" s="6"/>
      <c r="E461" s="6"/>
      <c r="F461" s="6"/>
      <c r="G461" s="6"/>
      <c r="H461" s="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7"/>
      <c r="C462" s="8"/>
      <c r="D462" s="6"/>
      <c r="E462" s="6"/>
      <c r="F462" s="6"/>
      <c r="G462" s="6"/>
      <c r="H462" s="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7"/>
      <c r="C463" s="8"/>
      <c r="D463" s="6"/>
      <c r="E463" s="6"/>
      <c r="F463" s="6"/>
      <c r="G463" s="6"/>
      <c r="H463" s="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7"/>
      <c r="C464" s="8"/>
      <c r="D464" s="6"/>
      <c r="E464" s="6"/>
      <c r="F464" s="6"/>
      <c r="G464" s="6"/>
      <c r="H464" s="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7"/>
      <c r="C465" s="8"/>
      <c r="D465" s="6"/>
      <c r="E465" s="6"/>
      <c r="F465" s="6"/>
      <c r="G465" s="6"/>
      <c r="H465" s="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7"/>
      <c r="C466" s="8"/>
      <c r="D466" s="6"/>
      <c r="E466" s="6"/>
      <c r="F466" s="6"/>
      <c r="G466" s="6"/>
      <c r="H466" s="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7"/>
      <c r="C467" s="8"/>
      <c r="D467" s="6"/>
      <c r="E467" s="6"/>
      <c r="F467" s="6"/>
      <c r="G467" s="6"/>
      <c r="H467" s="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7"/>
      <c r="C468" s="8"/>
      <c r="D468" s="6"/>
      <c r="E468" s="6"/>
      <c r="F468" s="6"/>
      <c r="G468" s="6"/>
      <c r="H468" s="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7"/>
      <c r="C469" s="8"/>
      <c r="D469" s="6"/>
      <c r="E469" s="6"/>
      <c r="F469" s="6"/>
      <c r="G469" s="6"/>
      <c r="H469" s="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7"/>
      <c r="C470" s="8"/>
      <c r="D470" s="6"/>
      <c r="E470" s="6"/>
      <c r="F470" s="6"/>
      <c r="G470" s="6"/>
      <c r="H470" s="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7"/>
      <c r="C471" s="8"/>
      <c r="D471" s="6"/>
      <c r="E471" s="6"/>
      <c r="F471" s="6"/>
      <c r="G471" s="6"/>
      <c r="H471" s="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7"/>
      <c r="C472" s="8"/>
      <c r="D472" s="6"/>
      <c r="E472" s="6"/>
      <c r="F472" s="6"/>
      <c r="G472" s="6"/>
      <c r="H472" s="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7"/>
      <c r="C473" s="8"/>
      <c r="D473" s="6"/>
      <c r="E473" s="6"/>
      <c r="F473" s="6"/>
      <c r="G473" s="6"/>
      <c r="H473" s="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7"/>
      <c r="C474" s="8"/>
      <c r="D474" s="6"/>
      <c r="E474" s="6"/>
      <c r="F474" s="6"/>
      <c r="G474" s="6"/>
      <c r="H474" s="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7"/>
      <c r="C475" s="8"/>
      <c r="D475" s="6"/>
      <c r="E475" s="6"/>
      <c r="F475" s="6"/>
      <c r="G475" s="6"/>
      <c r="H475" s="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7"/>
      <c r="C476" s="8"/>
      <c r="D476" s="6"/>
      <c r="E476" s="6"/>
      <c r="F476" s="6"/>
      <c r="G476" s="6"/>
      <c r="H476" s="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7"/>
      <c r="C477" s="8"/>
      <c r="D477" s="6"/>
      <c r="E477" s="6"/>
      <c r="F477" s="6"/>
      <c r="G477" s="6"/>
      <c r="H477" s="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7"/>
      <c r="C478" s="8"/>
      <c r="D478" s="6"/>
      <c r="E478" s="6"/>
      <c r="F478" s="6"/>
      <c r="G478" s="6"/>
      <c r="H478" s="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7"/>
      <c r="C479" s="8"/>
      <c r="D479" s="6"/>
      <c r="E479" s="6"/>
      <c r="F479" s="6"/>
      <c r="G479" s="6"/>
      <c r="H479" s="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7"/>
      <c r="C480" s="8"/>
      <c r="D480" s="6"/>
      <c r="E480" s="6"/>
      <c r="F480" s="6"/>
      <c r="G480" s="6"/>
      <c r="H480" s="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7"/>
      <c r="C481" s="8"/>
      <c r="D481" s="6"/>
      <c r="E481" s="6"/>
      <c r="F481" s="6"/>
      <c r="G481" s="6"/>
      <c r="H481" s="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7"/>
      <c r="C482" s="8"/>
      <c r="D482" s="6"/>
      <c r="E482" s="6"/>
      <c r="F482" s="6"/>
      <c r="G482" s="6"/>
      <c r="H482" s="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7"/>
      <c r="C483" s="8"/>
      <c r="D483" s="6"/>
      <c r="E483" s="6"/>
      <c r="F483" s="6"/>
      <c r="G483" s="6"/>
      <c r="H483" s="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7"/>
      <c r="C484" s="8"/>
      <c r="D484" s="6"/>
      <c r="E484" s="6"/>
      <c r="F484" s="6"/>
      <c r="G484" s="6"/>
      <c r="H484" s="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7"/>
      <c r="C485" s="8"/>
      <c r="D485" s="6"/>
      <c r="E485" s="6"/>
      <c r="F485" s="6"/>
      <c r="G485" s="6"/>
      <c r="H485" s="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7"/>
      <c r="C486" s="8"/>
      <c r="D486" s="6"/>
      <c r="E486" s="6"/>
      <c r="F486" s="6"/>
      <c r="G486" s="6"/>
      <c r="H486" s="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7"/>
      <c r="C487" s="8"/>
      <c r="D487" s="6"/>
      <c r="E487" s="6"/>
      <c r="F487" s="6"/>
      <c r="G487" s="6"/>
      <c r="H487" s="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7"/>
      <c r="C488" s="8"/>
      <c r="D488" s="6"/>
      <c r="E488" s="6"/>
      <c r="F488" s="6"/>
      <c r="G488" s="6"/>
      <c r="H488" s="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7"/>
      <c r="C489" s="8"/>
      <c r="D489" s="6"/>
      <c r="E489" s="6"/>
      <c r="F489" s="6"/>
      <c r="G489" s="6"/>
      <c r="H489" s="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7"/>
      <c r="C490" s="8"/>
      <c r="D490" s="6"/>
      <c r="E490" s="6"/>
      <c r="F490" s="6"/>
      <c r="G490" s="6"/>
      <c r="H490" s="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7"/>
      <c r="C491" s="8"/>
      <c r="D491" s="6"/>
      <c r="E491" s="6"/>
      <c r="F491" s="6"/>
      <c r="G491" s="6"/>
      <c r="H491" s="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7"/>
      <c r="C492" s="8"/>
      <c r="D492" s="6"/>
      <c r="E492" s="6"/>
      <c r="F492" s="6"/>
      <c r="G492" s="6"/>
      <c r="H492" s="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7"/>
      <c r="C493" s="8"/>
      <c r="D493" s="6"/>
      <c r="E493" s="6"/>
      <c r="F493" s="6"/>
      <c r="G493" s="6"/>
      <c r="H493" s="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7"/>
      <c r="C494" s="8"/>
      <c r="D494" s="6"/>
      <c r="E494" s="6"/>
      <c r="F494" s="6"/>
      <c r="G494" s="6"/>
      <c r="H494" s="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7"/>
      <c r="C495" s="8"/>
      <c r="D495" s="6"/>
      <c r="E495" s="6"/>
      <c r="F495" s="6"/>
      <c r="G495" s="6"/>
      <c r="H495" s="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7"/>
      <c r="C496" s="8"/>
      <c r="D496" s="6"/>
      <c r="E496" s="6"/>
      <c r="F496" s="6"/>
      <c r="G496" s="6"/>
      <c r="H496" s="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7"/>
      <c r="C497" s="8"/>
      <c r="D497" s="6"/>
      <c r="E497" s="6"/>
      <c r="F497" s="6"/>
      <c r="G497" s="6"/>
      <c r="H497" s="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7"/>
      <c r="C498" s="8"/>
      <c r="D498" s="6"/>
      <c r="E498" s="6"/>
      <c r="F498" s="6"/>
      <c r="G498" s="6"/>
      <c r="H498" s="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7"/>
      <c r="C499" s="8"/>
      <c r="D499" s="6"/>
      <c r="E499" s="6"/>
      <c r="F499" s="6"/>
      <c r="G499" s="6"/>
      <c r="H499" s="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7"/>
      <c r="C500" s="8"/>
      <c r="D500" s="6"/>
      <c r="E500" s="6"/>
      <c r="F500" s="6"/>
      <c r="G500" s="6"/>
      <c r="H500" s="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7"/>
      <c r="C501" s="8"/>
      <c r="D501" s="6"/>
      <c r="E501" s="6"/>
      <c r="F501" s="6"/>
      <c r="G501" s="6"/>
      <c r="H501" s="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7"/>
      <c r="C502" s="8"/>
      <c r="D502" s="6"/>
      <c r="E502" s="6"/>
      <c r="F502" s="6"/>
      <c r="G502" s="6"/>
      <c r="H502" s="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7"/>
      <c r="C503" s="8"/>
      <c r="D503" s="6"/>
      <c r="E503" s="6"/>
      <c r="F503" s="6"/>
      <c r="G503" s="6"/>
      <c r="H503" s="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7"/>
      <c r="C504" s="8"/>
      <c r="D504" s="6"/>
      <c r="E504" s="6"/>
      <c r="F504" s="6"/>
      <c r="G504" s="6"/>
      <c r="H504" s="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7"/>
      <c r="C505" s="8"/>
      <c r="D505" s="6"/>
      <c r="E505" s="6"/>
      <c r="F505" s="6"/>
      <c r="G505" s="6"/>
      <c r="H505" s="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7"/>
      <c r="C506" s="8"/>
      <c r="D506" s="6"/>
      <c r="E506" s="6"/>
      <c r="F506" s="6"/>
      <c r="G506" s="6"/>
      <c r="H506" s="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7"/>
      <c r="C507" s="8"/>
      <c r="D507" s="6"/>
      <c r="E507" s="6"/>
      <c r="F507" s="6"/>
      <c r="G507" s="6"/>
      <c r="H507" s="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7"/>
      <c r="C508" s="8"/>
      <c r="D508" s="6"/>
      <c r="E508" s="6"/>
      <c r="F508" s="6"/>
      <c r="G508" s="6"/>
      <c r="H508" s="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7"/>
      <c r="C509" s="8"/>
      <c r="D509" s="6"/>
      <c r="E509" s="6"/>
      <c r="F509" s="6"/>
      <c r="G509" s="6"/>
      <c r="H509" s="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7"/>
      <c r="C510" s="8"/>
      <c r="D510" s="6"/>
      <c r="E510" s="6"/>
      <c r="F510" s="6"/>
      <c r="G510" s="6"/>
      <c r="H510" s="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7"/>
      <c r="C511" s="8"/>
      <c r="D511" s="6"/>
      <c r="E511" s="6"/>
      <c r="F511" s="6"/>
      <c r="G511" s="6"/>
      <c r="H511" s="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7"/>
      <c r="C512" s="8"/>
      <c r="D512" s="6"/>
      <c r="E512" s="6"/>
      <c r="F512" s="6"/>
      <c r="G512" s="6"/>
      <c r="H512" s="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7"/>
      <c r="C513" s="8"/>
      <c r="D513" s="6"/>
      <c r="E513" s="6"/>
      <c r="F513" s="6"/>
      <c r="G513" s="6"/>
      <c r="H513" s="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7"/>
      <c r="C514" s="8"/>
      <c r="D514" s="6"/>
      <c r="E514" s="6"/>
      <c r="F514" s="6"/>
      <c r="G514" s="6"/>
      <c r="H514" s="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7"/>
      <c r="C515" s="8"/>
      <c r="D515" s="6"/>
      <c r="E515" s="6"/>
      <c r="F515" s="6"/>
      <c r="G515" s="6"/>
      <c r="H515" s="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7"/>
      <c r="C516" s="8"/>
      <c r="D516" s="6"/>
      <c r="E516" s="6"/>
      <c r="F516" s="6"/>
      <c r="G516" s="6"/>
      <c r="H516" s="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7"/>
      <c r="C517" s="8"/>
      <c r="D517" s="6"/>
      <c r="E517" s="6"/>
      <c r="F517" s="6"/>
      <c r="G517" s="6"/>
      <c r="H517" s="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7"/>
      <c r="C518" s="8"/>
      <c r="D518" s="6"/>
      <c r="E518" s="6"/>
      <c r="F518" s="6"/>
      <c r="G518" s="6"/>
      <c r="H518" s="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7"/>
      <c r="C519" s="8"/>
      <c r="D519" s="6"/>
      <c r="E519" s="6"/>
      <c r="F519" s="6"/>
      <c r="G519" s="6"/>
      <c r="H519" s="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7"/>
      <c r="C520" s="8"/>
      <c r="D520" s="6"/>
      <c r="E520" s="6"/>
      <c r="F520" s="6"/>
      <c r="G520" s="6"/>
      <c r="H520" s="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7"/>
      <c r="C521" s="8"/>
      <c r="D521" s="6"/>
      <c r="E521" s="6"/>
      <c r="F521" s="6"/>
      <c r="G521" s="6"/>
      <c r="H521" s="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7"/>
      <c r="C522" s="8"/>
      <c r="D522" s="6"/>
      <c r="E522" s="6"/>
      <c r="F522" s="6"/>
      <c r="G522" s="6"/>
      <c r="H522" s="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7"/>
      <c r="C523" s="8"/>
      <c r="D523" s="6"/>
      <c r="E523" s="6"/>
      <c r="F523" s="6"/>
      <c r="G523" s="6"/>
      <c r="H523" s="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7"/>
      <c r="C524" s="8"/>
      <c r="D524" s="6"/>
      <c r="E524" s="6"/>
      <c r="F524" s="6"/>
      <c r="G524" s="6"/>
      <c r="H524" s="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7"/>
      <c r="C525" s="8"/>
      <c r="D525" s="6"/>
      <c r="E525" s="6"/>
      <c r="F525" s="6"/>
      <c r="G525" s="6"/>
      <c r="H525" s="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7"/>
      <c r="C526" s="8"/>
      <c r="D526" s="6"/>
      <c r="E526" s="6"/>
      <c r="F526" s="6"/>
      <c r="G526" s="6"/>
      <c r="H526" s="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7"/>
      <c r="C527" s="8"/>
      <c r="D527" s="6"/>
      <c r="E527" s="6"/>
      <c r="F527" s="6"/>
      <c r="G527" s="6"/>
      <c r="H527" s="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7"/>
      <c r="C528" s="8"/>
      <c r="D528" s="6"/>
      <c r="E528" s="6"/>
      <c r="F528" s="6"/>
      <c r="G528" s="6"/>
      <c r="H528" s="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7"/>
      <c r="C529" s="8"/>
      <c r="D529" s="6"/>
      <c r="E529" s="6"/>
      <c r="F529" s="6"/>
      <c r="G529" s="6"/>
      <c r="H529" s="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7"/>
      <c r="C530" s="8"/>
      <c r="D530" s="6"/>
      <c r="E530" s="6"/>
      <c r="F530" s="6"/>
      <c r="G530" s="6"/>
      <c r="H530" s="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7"/>
      <c r="C531" s="8"/>
      <c r="D531" s="6"/>
      <c r="E531" s="6"/>
      <c r="F531" s="6"/>
      <c r="G531" s="6"/>
      <c r="H531" s="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7"/>
      <c r="C532" s="8"/>
      <c r="D532" s="6"/>
      <c r="E532" s="6"/>
      <c r="F532" s="6"/>
      <c r="G532" s="6"/>
      <c r="H532" s="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7"/>
      <c r="C533" s="8"/>
      <c r="D533" s="6"/>
      <c r="E533" s="6"/>
      <c r="F533" s="6"/>
      <c r="G533" s="6"/>
      <c r="H533" s="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7"/>
      <c r="C534" s="8"/>
      <c r="D534" s="6"/>
      <c r="E534" s="6"/>
      <c r="F534" s="6"/>
      <c r="G534" s="6"/>
      <c r="H534" s="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7"/>
      <c r="C535" s="8"/>
      <c r="D535" s="6"/>
      <c r="E535" s="6"/>
      <c r="F535" s="6"/>
      <c r="G535" s="6"/>
      <c r="H535" s="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7"/>
      <c r="C536" s="8"/>
      <c r="D536" s="6"/>
      <c r="E536" s="6"/>
      <c r="F536" s="6"/>
      <c r="G536" s="6"/>
      <c r="H536" s="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7"/>
      <c r="C537" s="8"/>
      <c r="D537" s="6"/>
      <c r="E537" s="6"/>
      <c r="F537" s="6"/>
      <c r="G537" s="6"/>
      <c r="H537" s="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7"/>
      <c r="C538" s="8"/>
      <c r="D538" s="6"/>
      <c r="E538" s="6"/>
      <c r="F538" s="6"/>
      <c r="G538" s="6"/>
      <c r="H538" s="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7"/>
      <c r="C539" s="8"/>
      <c r="D539" s="6"/>
      <c r="E539" s="6"/>
      <c r="F539" s="6"/>
      <c r="G539" s="6"/>
      <c r="H539" s="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7"/>
      <c r="C540" s="8"/>
      <c r="D540" s="6"/>
      <c r="E540" s="6"/>
      <c r="F540" s="6"/>
      <c r="G540" s="6"/>
      <c r="H540" s="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7"/>
      <c r="C541" s="8"/>
      <c r="D541" s="6"/>
      <c r="E541" s="6"/>
      <c r="F541" s="6"/>
      <c r="G541" s="6"/>
      <c r="H541" s="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7"/>
      <c r="C542" s="8"/>
      <c r="D542" s="6"/>
      <c r="E542" s="6"/>
      <c r="F542" s="6"/>
      <c r="G542" s="6"/>
      <c r="H542" s="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7"/>
      <c r="C543" s="8"/>
      <c r="D543" s="6"/>
      <c r="E543" s="6"/>
      <c r="F543" s="6"/>
      <c r="G543" s="6"/>
      <c r="H543" s="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7"/>
      <c r="C544" s="8"/>
      <c r="D544" s="6"/>
      <c r="E544" s="6"/>
      <c r="F544" s="6"/>
      <c r="G544" s="6"/>
      <c r="H544" s="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7"/>
      <c r="C545" s="8"/>
      <c r="D545" s="6"/>
      <c r="E545" s="6"/>
      <c r="F545" s="6"/>
      <c r="G545" s="6"/>
      <c r="H545" s="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7"/>
      <c r="C546" s="8"/>
      <c r="D546" s="6"/>
      <c r="E546" s="6"/>
      <c r="F546" s="6"/>
      <c r="G546" s="6"/>
      <c r="H546" s="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7"/>
      <c r="C547" s="8"/>
      <c r="D547" s="6"/>
      <c r="E547" s="6"/>
      <c r="F547" s="6"/>
      <c r="G547" s="6"/>
      <c r="H547" s="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7"/>
      <c r="C548" s="8"/>
      <c r="D548" s="6"/>
      <c r="E548" s="6"/>
      <c r="F548" s="6"/>
      <c r="G548" s="6"/>
      <c r="H548" s="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7"/>
      <c r="C549" s="8"/>
      <c r="D549" s="6"/>
      <c r="E549" s="6"/>
      <c r="F549" s="6"/>
      <c r="G549" s="6"/>
      <c r="H549" s="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7"/>
      <c r="C550" s="8"/>
      <c r="D550" s="6"/>
      <c r="E550" s="6"/>
      <c r="F550" s="6"/>
      <c r="G550" s="6"/>
      <c r="H550" s="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7"/>
      <c r="C551" s="8"/>
      <c r="D551" s="6"/>
      <c r="E551" s="6"/>
      <c r="F551" s="6"/>
      <c r="G551" s="6"/>
      <c r="H551" s="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7"/>
      <c r="C552" s="8"/>
      <c r="D552" s="6"/>
      <c r="E552" s="6"/>
      <c r="F552" s="6"/>
      <c r="G552" s="6"/>
      <c r="H552" s="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7"/>
      <c r="C553" s="8"/>
      <c r="D553" s="6"/>
      <c r="E553" s="6"/>
      <c r="F553" s="6"/>
      <c r="G553" s="6"/>
      <c r="H553" s="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7"/>
      <c r="C554" s="8"/>
      <c r="D554" s="6"/>
      <c r="E554" s="6"/>
      <c r="F554" s="6"/>
      <c r="G554" s="6"/>
      <c r="H554" s="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7"/>
      <c r="C555" s="8"/>
      <c r="D555" s="6"/>
      <c r="E555" s="6"/>
      <c r="F555" s="6"/>
      <c r="G555" s="6"/>
      <c r="H555" s="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7"/>
      <c r="C556" s="8"/>
      <c r="D556" s="6"/>
      <c r="E556" s="6"/>
      <c r="F556" s="6"/>
      <c r="G556" s="6"/>
      <c r="H556" s="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7"/>
      <c r="C557" s="8"/>
      <c r="D557" s="6"/>
      <c r="E557" s="6"/>
      <c r="F557" s="6"/>
      <c r="G557" s="6"/>
      <c r="H557" s="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7"/>
      <c r="C558" s="8"/>
      <c r="D558" s="6"/>
      <c r="E558" s="6"/>
      <c r="F558" s="6"/>
      <c r="G558" s="6"/>
      <c r="H558" s="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7"/>
      <c r="C559" s="8"/>
      <c r="D559" s="6"/>
      <c r="E559" s="6"/>
      <c r="F559" s="6"/>
      <c r="G559" s="6"/>
      <c r="H559" s="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7"/>
      <c r="C560" s="8"/>
      <c r="D560" s="6"/>
      <c r="E560" s="6"/>
      <c r="F560" s="6"/>
      <c r="G560" s="6"/>
      <c r="H560" s="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7"/>
      <c r="C561" s="8"/>
      <c r="D561" s="6"/>
      <c r="E561" s="6"/>
      <c r="F561" s="6"/>
      <c r="G561" s="6"/>
      <c r="H561" s="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7"/>
      <c r="C562" s="8"/>
      <c r="D562" s="6"/>
      <c r="E562" s="6"/>
      <c r="F562" s="6"/>
      <c r="G562" s="6"/>
      <c r="H562" s="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7"/>
      <c r="C563" s="8"/>
      <c r="D563" s="6"/>
      <c r="E563" s="6"/>
      <c r="F563" s="6"/>
      <c r="G563" s="6"/>
      <c r="H563" s="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7"/>
      <c r="C564" s="8"/>
      <c r="D564" s="6"/>
      <c r="E564" s="6"/>
      <c r="F564" s="6"/>
      <c r="G564" s="6"/>
      <c r="H564" s="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7"/>
      <c r="C565" s="8"/>
      <c r="D565" s="6"/>
      <c r="E565" s="6"/>
      <c r="F565" s="6"/>
      <c r="G565" s="6"/>
      <c r="H565" s="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7"/>
      <c r="C566" s="8"/>
      <c r="D566" s="6"/>
      <c r="E566" s="6"/>
      <c r="F566" s="6"/>
      <c r="G566" s="6"/>
      <c r="H566" s="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7"/>
      <c r="C567" s="8"/>
      <c r="D567" s="6"/>
      <c r="E567" s="6"/>
      <c r="F567" s="6"/>
      <c r="G567" s="6"/>
      <c r="H567" s="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7"/>
      <c r="C568" s="8"/>
      <c r="D568" s="6"/>
      <c r="E568" s="6"/>
      <c r="F568" s="6"/>
      <c r="G568" s="6"/>
      <c r="H568" s="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7"/>
      <c r="C569" s="8"/>
      <c r="D569" s="6"/>
      <c r="E569" s="6"/>
      <c r="F569" s="6"/>
      <c r="G569" s="6"/>
      <c r="H569" s="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7"/>
      <c r="C570" s="8"/>
      <c r="D570" s="6"/>
      <c r="E570" s="6"/>
      <c r="F570" s="6"/>
      <c r="G570" s="6"/>
      <c r="H570" s="9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7"/>
      <c r="C571" s="8"/>
      <c r="D571" s="6"/>
      <c r="E571" s="6"/>
      <c r="F571" s="6"/>
      <c r="G571" s="6"/>
      <c r="H571" s="9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7"/>
      <c r="C572" s="8"/>
      <c r="D572" s="6"/>
      <c r="E572" s="6"/>
      <c r="F572" s="6"/>
      <c r="G572" s="6"/>
      <c r="H572" s="9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7"/>
      <c r="C573" s="8"/>
      <c r="D573" s="6"/>
      <c r="E573" s="6"/>
      <c r="F573" s="6"/>
      <c r="G573" s="6"/>
      <c r="H573" s="9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7"/>
      <c r="C574" s="8"/>
      <c r="D574" s="6"/>
      <c r="E574" s="6"/>
      <c r="F574" s="6"/>
      <c r="G574" s="6"/>
      <c r="H574" s="9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7"/>
      <c r="C575" s="8"/>
      <c r="D575" s="6"/>
      <c r="E575" s="6"/>
      <c r="F575" s="6"/>
      <c r="G575" s="6"/>
      <c r="H575" s="9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7"/>
      <c r="C576" s="8"/>
      <c r="D576" s="6"/>
      <c r="E576" s="6"/>
      <c r="F576" s="6"/>
      <c r="G576" s="6"/>
      <c r="H576" s="9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7"/>
      <c r="C577" s="8"/>
      <c r="D577" s="6"/>
      <c r="E577" s="6"/>
      <c r="F577" s="6"/>
      <c r="G577" s="6"/>
      <c r="H577" s="9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7"/>
      <c r="C578" s="8"/>
      <c r="D578" s="6"/>
      <c r="E578" s="6"/>
      <c r="F578" s="6"/>
      <c r="G578" s="6"/>
      <c r="H578" s="9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7"/>
      <c r="C579" s="8"/>
      <c r="D579" s="6"/>
      <c r="E579" s="6"/>
      <c r="F579" s="6"/>
      <c r="G579" s="6"/>
      <c r="H579" s="9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7"/>
      <c r="C580" s="8"/>
      <c r="D580" s="6"/>
      <c r="E580" s="6"/>
      <c r="F580" s="6"/>
      <c r="G580" s="6"/>
      <c r="H580" s="9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7"/>
      <c r="C581" s="8"/>
      <c r="D581" s="6"/>
      <c r="E581" s="6"/>
      <c r="F581" s="6"/>
      <c r="G581" s="6"/>
      <c r="H581" s="9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7"/>
      <c r="C582" s="8"/>
      <c r="D582" s="6"/>
      <c r="E582" s="6"/>
      <c r="F582" s="6"/>
      <c r="G582" s="6"/>
      <c r="H582" s="9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7"/>
      <c r="C583" s="8"/>
      <c r="D583" s="6"/>
      <c r="E583" s="6"/>
      <c r="F583" s="6"/>
      <c r="G583" s="6"/>
      <c r="H583" s="9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7"/>
      <c r="C584" s="8"/>
      <c r="D584" s="6"/>
      <c r="E584" s="6"/>
      <c r="F584" s="6"/>
      <c r="G584" s="6"/>
      <c r="H584" s="9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7"/>
      <c r="C585" s="8"/>
      <c r="D585" s="6"/>
      <c r="E585" s="6"/>
      <c r="F585" s="6"/>
      <c r="G585" s="6"/>
      <c r="H585" s="9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7"/>
      <c r="C586" s="8"/>
      <c r="D586" s="6"/>
      <c r="E586" s="6"/>
      <c r="F586" s="6"/>
      <c r="G586" s="6"/>
      <c r="H586" s="9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7"/>
      <c r="C587" s="8"/>
      <c r="D587" s="6"/>
      <c r="E587" s="6"/>
      <c r="F587" s="6"/>
      <c r="G587" s="6"/>
      <c r="H587" s="9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7"/>
      <c r="C588" s="8"/>
      <c r="D588" s="6"/>
      <c r="E588" s="6"/>
      <c r="F588" s="6"/>
      <c r="G588" s="6"/>
      <c r="H588" s="9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7"/>
      <c r="C589" s="8"/>
      <c r="D589" s="6"/>
      <c r="E589" s="6"/>
      <c r="F589" s="6"/>
      <c r="G589" s="6"/>
      <c r="H589" s="9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7"/>
      <c r="C590" s="8"/>
      <c r="D590" s="6"/>
      <c r="E590" s="6"/>
      <c r="F590" s="6"/>
      <c r="G590" s="6"/>
      <c r="H590" s="9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7"/>
      <c r="C591" s="8"/>
      <c r="D591" s="6"/>
      <c r="E591" s="6"/>
      <c r="F591" s="6"/>
      <c r="G591" s="6"/>
      <c r="H591" s="9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7"/>
      <c r="C592" s="8"/>
      <c r="D592" s="6"/>
      <c r="E592" s="6"/>
      <c r="F592" s="6"/>
      <c r="G592" s="6"/>
      <c r="H592" s="9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7"/>
      <c r="C593" s="8"/>
      <c r="D593" s="6"/>
      <c r="E593" s="6"/>
      <c r="F593" s="6"/>
      <c r="G593" s="6"/>
      <c r="H593" s="9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7"/>
      <c r="C594" s="8"/>
      <c r="D594" s="6"/>
      <c r="E594" s="6"/>
      <c r="F594" s="6"/>
      <c r="G594" s="6"/>
      <c r="H594" s="9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7"/>
      <c r="C595" s="8"/>
      <c r="D595" s="6"/>
      <c r="E595" s="6"/>
      <c r="F595" s="6"/>
      <c r="G595" s="6"/>
      <c r="H595" s="9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7"/>
      <c r="C596" s="8"/>
      <c r="D596" s="6"/>
      <c r="E596" s="6"/>
      <c r="F596" s="6"/>
      <c r="G596" s="6"/>
      <c r="H596" s="9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7"/>
      <c r="C597" s="8"/>
      <c r="D597" s="6"/>
      <c r="E597" s="6"/>
      <c r="F597" s="6"/>
      <c r="G597" s="6"/>
      <c r="H597" s="9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7"/>
      <c r="C598" s="8"/>
      <c r="D598" s="6"/>
      <c r="E598" s="6"/>
      <c r="F598" s="6"/>
      <c r="G598" s="6"/>
      <c r="H598" s="9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7"/>
      <c r="C599" s="8"/>
      <c r="D599" s="6"/>
      <c r="E599" s="6"/>
      <c r="F599" s="6"/>
      <c r="G599" s="6"/>
      <c r="H599" s="9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7"/>
      <c r="C600" s="8"/>
      <c r="D600" s="6"/>
      <c r="E600" s="6"/>
      <c r="F600" s="6"/>
      <c r="G600" s="6"/>
      <c r="H600" s="9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7"/>
      <c r="C601" s="8"/>
      <c r="D601" s="6"/>
      <c r="E601" s="6"/>
      <c r="F601" s="6"/>
      <c r="G601" s="6"/>
      <c r="H601" s="9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7"/>
      <c r="C602" s="8"/>
      <c r="D602" s="6"/>
      <c r="E602" s="6"/>
      <c r="F602" s="6"/>
      <c r="G602" s="6"/>
      <c r="H602" s="9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7"/>
      <c r="C603" s="8"/>
      <c r="D603" s="6"/>
      <c r="E603" s="6"/>
      <c r="F603" s="6"/>
      <c r="G603" s="6"/>
      <c r="H603" s="9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7"/>
      <c r="C604" s="8"/>
      <c r="D604" s="6"/>
      <c r="E604" s="6"/>
      <c r="F604" s="6"/>
      <c r="G604" s="6"/>
      <c r="H604" s="9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7"/>
      <c r="C605" s="8"/>
      <c r="D605" s="6"/>
      <c r="E605" s="6"/>
      <c r="F605" s="6"/>
      <c r="G605" s="6"/>
      <c r="H605" s="9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7"/>
      <c r="C606" s="8"/>
      <c r="D606" s="6"/>
      <c r="E606" s="6"/>
      <c r="F606" s="6"/>
      <c r="G606" s="6"/>
      <c r="H606" s="9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7"/>
      <c r="C607" s="8"/>
      <c r="D607" s="6"/>
      <c r="E607" s="6"/>
      <c r="F607" s="6"/>
      <c r="G607" s="6"/>
      <c r="H607" s="9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7"/>
      <c r="C608" s="8"/>
      <c r="D608" s="6"/>
      <c r="E608" s="6"/>
      <c r="F608" s="6"/>
      <c r="G608" s="6"/>
      <c r="H608" s="9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7"/>
      <c r="C609" s="8"/>
      <c r="D609" s="6"/>
      <c r="E609" s="6"/>
      <c r="F609" s="6"/>
      <c r="G609" s="6"/>
      <c r="H609" s="9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7"/>
      <c r="C610" s="8"/>
      <c r="D610" s="6"/>
      <c r="E610" s="6"/>
      <c r="F610" s="6"/>
      <c r="G610" s="6"/>
      <c r="H610" s="9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7"/>
      <c r="C611" s="8"/>
      <c r="D611" s="6"/>
      <c r="E611" s="6"/>
      <c r="F611" s="6"/>
      <c r="G611" s="6"/>
      <c r="H611" s="9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7"/>
      <c r="C612" s="8"/>
      <c r="D612" s="6"/>
      <c r="E612" s="6"/>
      <c r="F612" s="6"/>
      <c r="G612" s="6"/>
      <c r="H612" s="9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7"/>
      <c r="C613" s="8"/>
      <c r="D613" s="6"/>
      <c r="E613" s="6"/>
      <c r="F613" s="6"/>
      <c r="G613" s="6"/>
      <c r="H613" s="9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7"/>
      <c r="C614" s="8"/>
      <c r="D614" s="6"/>
      <c r="E614" s="6"/>
      <c r="F614" s="6"/>
      <c r="G614" s="6"/>
      <c r="H614" s="9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7"/>
      <c r="C615" s="8"/>
      <c r="D615" s="6"/>
      <c r="E615" s="6"/>
      <c r="F615" s="6"/>
      <c r="G615" s="6"/>
      <c r="H615" s="9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7"/>
      <c r="C616" s="8"/>
      <c r="D616" s="6"/>
      <c r="E616" s="6"/>
      <c r="F616" s="6"/>
      <c r="G616" s="6"/>
      <c r="H616" s="9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7"/>
      <c r="C617" s="8"/>
      <c r="D617" s="6"/>
      <c r="E617" s="6"/>
      <c r="F617" s="6"/>
      <c r="G617" s="6"/>
      <c r="H617" s="9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7"/>
      <c r="C618" s="8"/>
      <c r="D618" s="6"/>
      <c r="E618" s="6"/>
      <c r="F618" s="6"/>
      <c r="G618" s="6"/>
      <c r="H618" s="9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7"/>
      <c r="C619" s="8"/>
      <c r="D619" s="6"/>
      <c r="E619" s="6"/>
      <c r="F619" s="6"/>
      <c r="G619" s="6"/>
      <c r="H619" s="9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7"/>
      <c r="C620" s="8"/>
      <c r="D620" s="6"/>
      <c r="E620" s="6"/>
      <c r="F620" s="6"/>
      <c r="G620" s="6"/>
      <c r="H620" s="9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7"/>
      <c r="C621" s="8"/>
      <c r="D621" s="6"/>
      <c r="E621" s="6"/>
      <c r="F621" s="6"/>
      <c r="G621" s="6"/>
      <c r="H621" s="9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7"/>
      <c r="C622" s="8"/>
      <c r="D622" s="6"/>
      <c r="E622" s="6"/>
      <c r="F622" s="6"/>
      <c r="G622" s="6"/>
      <c r="H622" s="9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7"/>
      <c r="C623" s="8"/>
      <c r="D623" s="6"/>
      <c r="E623" s="6"/>
      <c r="F623" s="6"/>
      <c r="G623" s="6"/>
      <c r="H623" s="9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7"/>
      <c r="C624" s="8"/>
      <c r="D624" s="6"/>
      <c r="E624" s="6"/>
      <c r="F624" s="6"/>
      <c r="G624" s="6"/>
      <c r="H624" s="9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7"/>
      <c r="C625" s="8"/>
      <c r="D625" s="6"/>
      <c r="E625" s="6"/>
      <c r="F625" s="6"/>
      <c r="G625" s="6"/>
      <c r="H625" s="9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7"/>
      <c r="C626" s="8"/>
      <c r="D626" s="6"/>
      <c r="E626" s="6"/>
      <c r="F626" s="6"/>
      <c r="G626" s="6"/>
      <c r="H626" s="9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7"/>
      <c r="C627" s="8"/>
      <c r="D627" s="6"/>
      <c r="E627" s="6"/>
      <c r="F627" s="6"/>
      <c r="G627" s="6"/>
      <c r="H627" s="9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7"/>
      <c r="C628" s="8"/>
      <c r="D628" s="6"/>
      <c r="E628" s="6"/>
      <c r="F628" s="6"/>
      <c r="G628" s="6"/>
      <c r="H628" s="9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7"/>
      <c r="C629" s="8"/>
      <c r="D629" s="6"/>
      <c r="E629" s="6"/>
      <c r="F629" s="6"/>
      <c r="G629" s="6"/>
      <c r="H629" s="9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7"/>
      <c r="C630" s="8"/>
      <c r="D630" s="6"/>
      <c r="E630" s="6"/>
      <c r="F630" s="6"/>
      <c r="G630" s="6"/>
      <c r="H630" s="9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7"/>
      <c r="C631" s="8"/>
      <c r="D631" s="6"/>
      <c r="E631" s="6"/>
      <c r="F631" s="6"/>
      <c r="G631" s="6"/>
      <c r="H631" s="9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7"/>
      <c r="C632" s="8"/>
      <c r="D632" s="6"/>
      <c r="E632" s="6"/>
      <c r="F632" s="6"/>
      <c r="G632" s="6"/>
      <c r="H632" s="9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7"/>
      <c r="C633" s="8"/>
      <c r="D633" s="6"/>
      <c r="E633" s="6"/>
      <c r="F633" s="6"/>
      <c r="G633" s="6"/>
      <c r="H633" s="9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7"/>
      <c r="C634" s="8"/>
      <c r="D634" s="6"/>
      <c r="E634" s="6"/>
      <c r="F634" s="6"/>
      <c r="G634" s="6"/>
      <c r="H634" s="9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7"/>
      <c r="C635" s="8"/>
      <c r="D635" s="6"/>
      <c r="E635" s="6"/>
      <c r="F635" s="6"/>
      <c r="G635" s="6"/>
      <c r="H635" s="9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7"/>
      <c r="C636" s="8"/>
      <c r="D636" s="6"/>
      <c r="E636" s="6"/>
      <c r="F636" s="6"/>
      <c r="G636" s="6"/>
      <c r="H636" s="9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7"/>
      <c r="C637" s="8"/>
      <c r="D637" s="6"/>
      <c r="E637" s="6"/>
      <c r="F637" s="6"/>
      <c r="G637" s="6"/>
      <c r="H637" s="9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7"/>
      <c r="C638" s="8"/>
      <c r="D638" s="6"/>
      <c r="E638" s="6"/>
      <c r="F638" s="6"/>
      <c r="G638" s="6"/>
      <c r="H638" s="9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7"/>
      <c r="C639" s="8"/>
      <c r="D639" s="6"/>
      <c r="E639" s="6"/>
      <c r="F639" s="6"/>
      <c r="G639" s="6"/>
      <c r="H639" s="9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7"/>
      <c r="C640" s="8"/>
      <c r="D640" s="6"/>
      <c r="E640" s="6"/>
      <c r="F640" s="6"/>
      <c r="G640" s="6"/>
      <c r="H640" s="9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7"/>
      <c r="C641" s="8"/>
      <c r="D641" s="6"/>
      <c r="E641" s="6"/>
      <c r="F641" s="6"/>
      <c r="G641" s="6"/>
      <c r="H641" s="9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7"/>
      <c r="C642" s="8"/>
      <c r="D642" s="6"/>
      <c r="E642" s="6"/>
      <c r="F642" s="6"/>
      <c r="G642" s="6"/>
      <c r="H642" s="9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7"/>
      <c r="C643" s="8"/>
      <c r="D643" s="6"/>
      <c r="E643" s="6"/>
      <c r="F643" s="6"/>
      <c r="G643" s="6"/>
      <c r="H643" s="9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7"/>
      <c r="C644" s="8"/>
      <c r="D644" s="6"/>
      <c r="E644" s="6"/>
      <c r="F644" s="6"/>
      <c r="G644" s="6"/>
      <c r="H644" s="9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7"/>
      <c r="C645" s="8"/>
      <c r="D645" s="6"/>
      <c r="E645" s="6"/>
      <c r="F645" s="6"/>
      <c r="G645" s="6"/>
      <c r="H645" s="9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7"/>
      <c r="C646" s="8"/>
      <c r="D646" s="6"/>
      <c r="E646" s="6"/>
      <c r="F646" s="6"/>
      <c r="G646" s="6"/>
      <c r="H646" s="9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7"/>
      <c r="C647" s="8"/>
      <c r="D647" s="6"/>
      <c r="E647" s="6"/>
      <c r="F647" s="6"/>
      <c r="G647" s="6"/>
      <c r="H647" s="9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7"/>
      <c r="C648" s="8"/>
      <c r="D648" s="6"/>
      <c r="E648" s="6"/>
      <c r="F648" s="6"/>
      <c r="G648" s="6"/>
      <c r="H648" s="9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7"/>
      <c r="C649" s="8"/>
      <c r="D649" s="6"/>
      <c r="E649" s="6"/>
      <c r="F649" s="6"/>
      <c r="G649" s="6"/>
      <c r="H649" s="9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7"/>
      <c r="C650" s="8"/>
      <c r="D650" s="6"/>
      <c r="E650" s="6"/>
      <c r="F650" s="6"/>
      <c r="G650" s="6"/>
      <c r="H650" s="9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7"/>
      <c r="C651" s="8"/>
      <c r="D651" s="6"/>
      <c r="E651" s="6"/>
      <c r="F651" s="6"/>
      <c r="G651" s="6"/>
      <c r="H651" s="9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7"/>
      <c r="C652" s="8"/>
      <c r="D652" s="6"/>
      <c r="E652" s="6"/>
      <c r="F652" s="6"/>
      <c r="G652" s="6"/>
      <c r="H652" s="9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7"/>
      <c r="C653" s="8"/>
      <c r="D653" s="6"/>
      <c r="E653" s="6"/>
      <c r="F653" s="6"/>
      <c r="G653" s="6"/>
      <c r="H653" s="9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7"/>
      <c r="C654" s="8"/>
      <c r="D654" s="6"/>
      <c r="E654" s="6"/>
      <c r="F654" s="6"/>
      <c r="G654" s="6"/>
      <c r="H654" s="9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7"/>
      <c r="C655" s="8"/>
      <c r="D655" s="6"/>
      <c r="E655" s="6"/>
      <c r="F655" s="6"/>
      <c r="G655" s="6"/>
      <c r="H655" s="9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7"/>
      <c r="C656" s="8"/>
      <c r="D656" s="6"/>
      <c r="E656" s="6"/>
      <c r="F656" s="6"/>
      <c r="G656" s="6"/>
      <c r="H656" s="9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7"/>
      <c r="C657" s="8"/>
      <c r="D657" s="6"/>
      <c r="E657" s="6"/>
      <c r="F657" s="6"/>
      <c r="G657" s="6"/>
      <c r="H657" s="9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7"/>
      <c r="C658" s="8"/>
      <c r="D658" s="6"/>
      <c r="E658" s="6"/>
      <c r="F658" s="6"/>
      <c r="G658" s="6"/>
      <c r="H658" s="9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7"/>
      <c r="C659" s="8"/>
      <c r="D659" s="6"/>
      <c r="E659" s="6"/>
      <c r="F659" s="6"/>
      <c r="G659" s="6"/>
      <c r="H659" s="9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7"/>
      <c r="C660" s="8"/>
      <c r="D660" s="6"/>
      <c r="E660" s="6"/>
      <c r="F660" s="6"/>
      <c r="G660" s="6"/>
      <c r="H660" s="9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7"/>
      <c r="C661" s="8"/>
      <c r="D661" s="6"/>
      <c r="E661" s="6"/>
      <c r="F661" s="6"/>
      <c r="G661" s="6"/>
      <c r="H661" s="9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7"/>
      <c r="C662" s="8"/>
      <c r="D662" s="6"/>
      <c r="E662" s="6"/>
      <c r="F662" s="6"/>
      <c r="G662" s="6"/>
      <c r="H662" s="9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7"/>
      <c r="C663" s="8"/>
      <c r="D663" s="6"/>
      <c r="E663" s="6"/>
      <c r="F663" s="6"/>
      <c r="G663" s="6"/>
      <c r="H663" s="9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7"/>
      <c r="C664" s="8"/>
      <c r="D664" s="6"/>
      <c r="E664" s="6"/>
      <c r="F664" s="6"/>
      <c r="G664" s="6"/>
      <c r="H664" s="9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7"/>
      <c r="C665" s="8"/>
      <c r="D665" s="6"/>
      <c r="E665" s="6"/>
      <c r="F665" s="6"/>
      <c r="G665" s="6"/>
      <c r="H665" s="9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7"/>
      <c r="C666" s="8"/>
      <c r="D666" s="6"/>
      <c r="E666" s="6"/>
      <c r="F666" s="6"/>
      <c r="G666" s="6"/>
      <c r="H666" s="9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7"/>
      <c r="C667" s="8"/>
      <c r="D667" s="6"/>
      <c r="E667" s="6"/>
      <c r="F667" s="6"/>
      <c r="G667" s="6"/>
      <c r="H667" s="9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7"/>
      <c r="C668" s="8"/>
      <c r="D668" s="6"/>
      <c r="E668" s="6"/>
      <c r="F668" s="6"/>
      <c r="G668" s="6"/>
      <c r="H668" s="9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7"/>
      <c r="C669" s="8"/>
      <c r="D669" s="6"/>
      <c r="E669" s="6"/>
      <c r="F669" s="6"/>
      <c r="G669" s="6"/>
      <c r="H669" s="9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7"/>
      <c r="C670" s="8"/>
      <c r="D670" s="6"/>
      <c r="E670" s="6"/>
      <c r="F670" s="6"/>
      <c r="G670" s="6"/>
      <c r="H670" s="9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7"/>
      <c r="C671" s="8"/>
      <c r="D671" s="6"/>
      <c r="E671" s="6"/>
      <c r="F671" s="6"/>
      <c r="G671" s="6"/>
      <c r="H671" s="9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7"/>
      <c r="C672" s="8"/>
      <c r="D672" s="6"/>
      <c r="E672" s="6"/>
      <c r="F672" s="6"/>
      <c r="G672" s="6"/>
      <c r="H672" s="9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7"/>
      <c r="C673" s="8"/>
      <c r="D673" s="6"/>
      <c r="E673" s="6"/>
      <c r="F673" s="6"/>
      <c r="G673" s="6"/>
      <c r="H673" s="9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7"/>
      <c r="C674" s="8"/>
      <c r="D674" s="6"/>
      <c r="E674" s="6"/>
      <c r="F674" s="6"/>
      <c r="G674" s="6"/>
      <c r="H674" s="9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7"/>
      <c r="C675" s="8"/>
      <c r="D675" s="6"/>
      <c r="E675" s="6"/>
      <c r="F675" s="6"/>
      <c r="G675" s="6"/>
      <c r="H675" s="9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7"/>
      <c r="C676" s="8"/>
      <c r="D676" s="6"/>
      <c r="E676" s="6"/>
      <c r="F676" s="6"/>
      <c r="G676" s="6"/>
      <c r="H676" s="9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7"/>
      <c r="C677" s="8"/>
      <c r="D677" s="6"/>
      <c r="E677" s="6"/>
      <c r="F677" s="6"/>
      <c r="G677" s="6"/>
      <c r="H677" s="9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7"/>
      <c r="C678" s="8"/>
      <c r="D678" s="6"/>
      <c r="E678" s="6"/>
      <c r="F678" s="6"/>
      <c r="G678" s="6"/>
      <c r="H678" s="9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7"/>
      <c r="C679" s="8"/>
      <c r="D679" s="6"/>
      <c r="E679" s="6"/>
      <c r="F679" s="6"/>
      <c r="G679" s="6"/>
      <c r="H679" s="9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7"/>
      <c r="C680" s="8"/>
      <c r="D680" s="6"/>
      <c r="E680" s="6"/>
      <c r="F680" s="6"/>
      <c r="G680" s="6"/>
      <c r="H680" s="9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7"/>
      <c r="C681" s="8"/>
      <c r="D681" s="6"/>
      <c r="E681" s="6"/>
      <c r="F681" s="6"/>
      <c r="G681" s="6"/>
      <c r="H681" s="9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7"/>
      <c r="C682" s="8"/>
      <c r="D682" s="6"/>
      <c r="E682" s="6"/>
      <c r="F682" s="6"/>
      <c r="G682" s="6"/>
      <c r="H682" s="9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7"/>
      <c r="C683" s="8"/>
      <c r="D683" s="6"/>
      <c r="E683" s="6"/>
      <c r="F683" s="6"/>
      <c r="G683" s="6"/>
      <c r="H683" s="9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7"/>
      <c r="C684" s="8"/>
      <c r="D684" s="6"/>
      <c r="E684" s="6"/>
      <c r="F684" s="6"/>
      <c r="G684" s="6"/>
      <c r="H684" s="9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7"/>
      <c r="C685" s="8"/>
      <c r="D685" s="6"/>
      <c r="E685" s="6"/>
      <c r="F685" s="6"/>
      <c r="G685" s="6"/>
      <c r="H685" s="9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7"/>
      <c r="C686" s="8"/>
      <c r="D686" s="6"/>
      <c r="E686" s="6"/>
      <c r="F686" s="6"/>
      <c r="G686" s="6"/>
      <c r="H686" s="9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7"/>
      <c r="C687" s="8"/>
      <c r="D687" s="6"/>
      <c r="E687" s="6"/>
      <c r="F687" s="6"/>
      <c r="G687" s="6"/>
      <c r="H687" s="9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7"/>
      <c r="C688" s="8"/>
      <c r="D688" s="6"/>
      <c r="E688" s="6"/>
      <c r="F688" s="6"/>
      <c r="G688" s="6"/>
      <c r="H688" s="9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7"/>
      <c r="C689" s="8"/>
      <c r="D689" s="6"/>
      <c r="E689" s="6"/>
      <c r="F689" s="6"/>
      <c r="G689" s="6"/>
      <c r="H689" s="9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7"/>
      <c r="C690" s="8"/>
      <c r="D690" s="6"/>
      <c r="E690" s="6"/>
      <c r="F690" s="6"/>
      <c r="G690" s="6"/>
      <c r="H690" s="9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7"/>
      <c r="C691" s="8"/>
      <c r="D691" s="6"/>
      <c r="E691" s="6"/>
      <c r="F691" s="6"/>
      <c r="G691" s="6"/>
      <c r="H691" s="9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7"/>
      <c r="C692" s="8"/>
      <c r="D692" s="6"/>
      <c r="E692" s="6"/>
      <c r="F692" s="6"/>
      <c r="G692" s="6"/>
      <c r="H692" s="9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7"/>
      <c r="C693" s="8"/>
      <c r="D693" s="6"/>
      <c r="E693" s="6"/>
      <c r="F693" s="6"/>
      <c r="G693" s="6"/>
      <c r="H693" s="9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7"/>
      <c r="C694" s="8"/>
      <c r="D694" s="6"/>
      <c r="E694" s="6"/>
      <c r="F694" s="6"/>
      <c r="G694" s="6"/>
      <c r="H694" s="9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7"/>
      <c r="C695" s="8"/>
      <c r="D695" s="6"/>
      <c r="E695" s="6"/>
      <c r="F695" s="6"/>
      <c r="G695" s="6"/>
      <c r="H695" s="9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7"/>
      <c r="C696" s="8"/>
      <c r="D696" s="6"/>
      <c r="E696" s="6"/>
      <c r="F696" s="6"/>
      <c r="G696" s="6"/>
      <c r="H696" s="9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7"/>
      <c r="C697" s="8"/>
      <c r="D697" s="6"/>
      <c r="E697" s="6"/>
      <c r="F697" s="6"/>
      <c r="G697" s="6"/>
      <c r="H697" s="9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7"/>
      <c r="C698" s="8"/>
      <c r="D698" s="6"/>
      <c r="E698" s="6"/>
      <c r="F698" s="6"/>
      <c r="G698" s="6"/>
      <c r="H698" s="9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7"/>
      <c r="C699" s="8"/>
      <c r="D699" s="6"/>
      <c r="E699" s="6"/>
      <c r="F699" s="6"/>
      <c r="G699" s="6"/>
      <c r="H699" s="9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7"/>
      <c r="C700" s="8"/>
      <c r="D700" s="6"/>
      <c r="E700" s="6"/>
      <c r="F700" s="6"/>
      <c r="G700" s="6"/>
      <c r="H700" s="9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7"/>
      <c r="C701" s="8"/>
      <c r="D701" s="6"/>
      <c r="E701" s="6"/>
      <c r="F701" s="6"/>
      <c r="G701" s="6"/>
      <c r="H701" s="9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7"/>
      <c r="C702" s="8"/>
      <c r="D702" s="6"/>
      <c r="E702" s="6"/>
      <c r="F702" s="6"/>
      <c r="G702" s="6"/>
      <c r="H702" s="9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7"/>
      <c r="C703" s="8"/>
      <c r="D703" s="6"/>
      <c r="E703" s="6"/>
      <c r="F703" s="6"/>
      <c r="G703" s="6"/>
      <c r="H703" s="9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7"/>
      <c r="C704" s="8"/>
      <c r="D704" s="6"/>
      <c r="E704" s="6"/>
      <c r="F704" s="6"/>
      <c r="G704" s="6"/>
      <c r="H704" s="9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7"/>
      <c r="C705" s="8"/>
      <c r="D705" s="6"/>
      <c r="E705" s="6"/>
      <c r="F705" s="6"/>
      <c r="G705" s="6"/>
      <c r="H705" s="9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7"/>
      <c r="C706" s="8"/>
      <c r="D706" s="6"/>
      <c r="E706" s="6"/>
      <c r="F706" s="6"/>
      <c r="G706" s="6"/>
      <c r="H706" s="9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7"/>
      <c r="C707" s="8"/>
      <c r="D707" s="6"/>
      <c r="E707" s="6"/>
      <c r="F707" s="6"/>
      <c r="G707" s="6"/>
      <c r="H707" s="9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7"/>
      <c r="C708" s="8"/>
      <c r="D708" s="6"/>
      <c r="E708" s="6"/>
      <c r="F708" s="6"/>
      <c r="G708" s="6"/>
      <c r="H708" s="9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7"/>
      <c r="C709" s="8"/>
      <c r="D709" s="6"/>
      <c r="E709" s="6"/>
      <c r="F709" s="6"/>
      <c r="G709" s="6"/>
      <c r="H709" s="9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7"/>
      <c r="C710" s="8"/>
      <c r="D710" s="6"/>
      <c r="E710" s="6"/>
      <c r="F710" s="6"/>
      <c r="G710" s="6"/>
      <c r="H710" s="9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7"/>
      <c r="C711" s="8"/>
      <c r="D711" s="6"/>
      <c r="E711" s="6"/>
      <c r="F711" s="6"/>
      <c r="G711" s="6"/>
      <c r="H711" s="9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7"/>
      <c r="C712" s="8"/>
      <c r="D712" s="6"/>
      <c r="E712" s="6"/>
      <c r="F712" s="6"/>
      <c r="G712" s="6"/>
      <c r="H712" s="9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7"/>
      <c r="C713" s="8"/>
      <c r="D713" s="6"/>
      <c r="E713" s="6"/>
      <c r="F713" s="6"/>
      <c r="G713" s="6"/>
      <c r="H713" s="9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7"/>
      <c r="C714" s="8"/>
      <c r="D714" s="6"/>
      <c r="E714" s="6"/>
      <c r="F714" s="6"/>
      <c r="G714" s="6"/>
      <c r="H714" s="9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7"/>
      <c r="C715" s="8"/>
      <c r="D715" s="6"/>
      <c r="E715" s="6"/>
      <c r="F715" s="6"/>
      <c r="G715" s="6"/>
      <c r="H715" s="9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7"/>
      <c r="C716" s="8"/>
      <c r="D716" s="6"/>
      <c r="E716" s="6"/>
      <c r="F716" s="6"/>
      <c r="G716" s="6"/>
      <c r="H716" s="9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7"/>
      <c r="C717" s="8"/>
      <c r="D717" s="6"/>
      <c r="E717" s="6"/>
      <c r="F717" s="6"/>
      <c r="G717" s="6"/>
      <c r="H717" s="9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7"/>
      <c r="C718" s="8"/>
      <c r="D718" s="6"/>
      <c r="E718" s="6"/>
      <c r="F718" s="6"/>
      <c r="G718" s="6"/>
      <c r="H718" s="9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7"/>
      <c r="C719" s="8"/>
      <c r="D719" s="6"/>
      <c r="E719" s="6"/>
      <c r="F719" s="6"/>
      <c r="G719" s="6"/>
      <c r="H719" s="9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7"/>
      <c r="C720" s="8"/>
      <c r="D720" s="6"/>
      <c r="E720" s="6"/>
      <c r="F720" s="6"/>
      <c r="G720" s="6"/>
      <c r="H720" s="9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7"/>
      <c r="C721" s="8"/>
      <c r="D721" s="6"/>
      <c r="E721" s="6"/>
      <c r="F721" s="6"/>
      <c r="G721" s="6"/>
      <c r="H721" s="9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7"/>
      <c r="C722" s="8"/>
      <c r="D722" s="6"/>
      <c r="E722" s="6"/>
      <c r="F722" s="6"/>
      <c r="G722" s="6"/>
      <c r="H722" s="9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7"/>
      <c r="C723" s="8"/>
      <c r="D723" s="6"/>
      <c r="E723" s="6"/>
      <c r="F723" s="6"/>
      <c r="G723" s="6"/>
      <c r="H723" s="9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7"/>
      <c r="C724" s="8"/>
      <c r="D724" s="6"/>
      <c r="E724" s="6"/>
      <c r="F724" s="6"/>
      <c r="G724" s="6"/>
      <c r="H724" s="9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7"/>
      <c r="C725" s="8"/>
      <c r="D725" s="6"/>
      <c r="E725" s="6"/>
      <c r="F725" s="6"/>
      <c r="G725" s="6"/>
      <c r="H725" s="9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7"/>
      <c r="C726" s="8"/>
      <c r="D726" s="6"/>
      <c r="E726" s="6"/>
      <c r="F726" s="6"/>
      <c r="G726" s="6"/>
      <c r="H726" s="9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7"/>
      <c r="C727" s="8"/>
      <c r="D727" s="6"/>
      <c r="E727" s="6"/>
      <c r="F727" s="6"/>
      <c r="G727" s="6"/>
      <c r="H727" s="9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7"/>
      <c r="C728" s="8"/>
      <c r="D728" s="6"/>
      <c r="E728" s="6"/>
      <c r="F728" s="6"/>
      <c r="G728" s="6"/>
      <c r="H728" s="9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7"/>
      <c r="C729" s="8"/>
      <c r="D729" s="6"/>
      <c r="E729" s="6"/>
      <c r="F729" s="6"/>
      <c r="G729" s="6"/>
      <c r="H729" s="9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7"/>
      <c r="C730" s="8"/>
      <c r="D730" s="6"/>
      <c r="E730" s="6"/>
      <c r="F730" s="6"/>
      <c r="G730" s="6"/>
      <c r="H730" s="9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7"/>
      <c r="C731" s="8"/>
      <c r="D731" s="6"/>
      <c r="E731" s="6"/>
      <c r="F731" s="6"/>
      <c r="G731" s="6"/>
      <c r="H731" s="9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7"/>
      <c r="C732" s="8"/>
      <c r="D732" s="6"/>
      <c r="E732" s="6"/>
      <c r="F732" s="6"/>
      <c r="G732" s="6"/>
      <c r="H732" s="9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7"/>
      <c r="C733" s="8"/>
      <c r="D733" s="6"/>
      <c r="E733" s="6"/>
      <c r="F733" s="6"/>
      <c r="G733" s="6"/>
      <c r="H733" s="9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7"/>
      <c r="C734" s="8"/>
      <c r="D734" s="6"/>
      <c r="E734" s="6"/>
      <c r="F734" s="6"/>
      <c r="G734" s="6"/>
      <c r="H734" s="9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7"/>
      <c r="C735" s="8"/>
      <c r="D735" s="6"/>
      <c r="E735" s="6"/>
      <c r="F735" s="6"/>
      <c r="G735" s="6"/>
      <c r="H735" s="9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7"/>
      <c r="C736" s="8"/>
      <c r="D736" s="6"/>
      <c r="E736" s="6"/>
      <c r="F736" s="6"/>
      <c r="G736" s="6"/>
      <c r="H736" s="9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7"/>
      <c r="C737" s="8"/>
      <c r="D737" s="6"/>
      <c r="E737" s="6"/>
      <c r="F737" s="6"/>
      <c r="G737" s="6"/>
      <c r="H737" s="9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7"/>
      <c r="C738" s="8"/>
      <c r="D738" s="6"/>
      <c r="E738" s="6"/>
      <c r="F738" s="6"/>
      <c r="G738" s="6"/>
      <c r="H738" s="9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7"/>
      <c r="C739" s="8"/>
      <c r="D739" s="6"/>
      <c r="E739" s="6"/>
      <c r="F739" s="6"/>
      <c r="G739" s="6"/>
      <c r="H739" s="9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7"/>
      <c r="C740" s="8"/>
      <c r="D740" s="6"/>
      <c r="E740" s="6"/>
      <c r="F740" s="6"/>
      <c r="G740" s="6"/>
      <c r="H740" s="9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7"/>
      <c r="C741" s="8"/>
      <c r="D741" s="6"/>
      <c r="E741" s="6"/>
      <c r="F741" s="6"/>
      <c r="G741" s="6"/>
      <c r="H741" s="9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7"/>
      <c r="C742" s="8"/>
      <c r="D742" s="6"/>
      <c r="E742" s="6"/>
      <c r="F742" s="6"/>
      <c r="G742" s="6"/>
      <c r="H742" s="9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7"/>
      <c r="C743" s="8"/>
      <c r="D743" s="6"/>
      <c r="E743" s="6"/>
      <c r="F743" s="6"/>
      <c r="G743" s="6"/>
      <c r="H743" s="9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7"/>
      <c r="C744" s="8"/>
      <c r="D744" s="6"/>
      <c r="E744" s="6"/>
      <c r="F744" s="6"/>
      <c r="G744" s="6"/>
      <c r="H744" s="9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7"/>
      <c r="C745" s="8"/>
      <c r="D745" s="6"/>
      <c r="E745" s="6"/>
      <c r="F745" s="6"/>
      <c r="G745" s="6"/>
      <c r="H745" s="9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7"/>
      <c r="C746" s="8"/>
      <c r="D746" s="6"/>
      <c r="E746" s="6"/>
      <c r="F746" s="6"/>
      <c r="G746" s="6"/>
      <c r="H746" s="9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7"/>
      <c r="C747" s="8"/>
      <c r="D747" s="6"/>
      <c r="E747" s="6"/>
      <c r="F747" s="6"/>
      <c r="G747" s="6"/>
      <c r="H747" s="9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7"/>
      <c r="C748" s="8"/>
      <c r="D748" s="6"/>
      <c r="E748" s="6"/>
      <c r="F748" s="6"/>
      <c r="G748" s="6"/>
      <c r="H748" s="9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7"/>
      <c r="C749" s="8"/>
      <c r="D749" s="6"/>
      <c r="E749" s="6"/>
      <c r="F749" s="6"/>
      <c r="G749" s="6"/>
      <c r="H749" s="9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7"/>
      <c r="C750" s="8"/>
      <c r="D750" s="6"/>
      <c r="E750" s="6"/>
      <c r="F750" s="6"/>
      <c r="G750" s="6"/>
      <c r="H750" s="9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7"/>
      <c r="C751" s="8"/>
      <c r="D751" s="6"/>
      <c r="E751" s="6"/>
      <c r="F751" s="6"/>
      <c r="G751" s="6"/>
      <c r="H751" s="9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7"/>
      <c r="C752" s="8"/>
      <c r="D752" s="6"/>
      <c r="E752" s="6"/>
      <c r="F752" s="6"/>
      <c r="G752" s="6"/>
      <c r="H752" s="9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7"/>
      <c r="C753" s="8"/>
      <c r="D753" s="6"/>
      <c r="E753" s="6"/>
      <c r="F753" s="6"/>
      <c r="G753" s="6"/>
      <c r="H753" s="9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7"/>
      <c r="C754" s="8"/>
      <c r="D754" s="6"/>
      <c r="E754" s="6"/>
      <c r="F754" s="6"/>
      <c r="G754" s="6"/>
      <c r="H754" s="9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7"/>
      <c r="C755" s="8"/>
      <c r="D755" s="6"/>
      <c r="E755" s="6"/>
      <c r="F755" s="6"/>
      <c r="G755" s="6"/>
      <c r="H755" s="9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7"/>
      <c r="C756" s="8"/>
      <c r="D756" s="6"/>
      <c r="E756" s="6"/>
      <c r="F756" s="6"/>
      <c r="G756" s="6"/>
      <c r="H756" s="9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7"/>
      <c r="C757" s="8"/>
      <c r="D757" s="6"/>
      <c r="E757" s="6"/>
      <c r="F757" s="6"/>
      <c r="G757" s="6"/>
      <c r="H757" s="9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7"/>
      <c r="C758" s="8"/>
      <c r="D758" s="6"/>
      <c r="E758" s="6"/>
      <c r="F758" s="6"/>
      <c r="G758" s="6"/>
      <c r="H758" s="9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7"/>
      <c r="C759" s="8"/>
      <c r="D759" s="6"/>
      <c r="E759" s="6"/>
      <c r="F759" s="6"/>
      <c r="G759" s="6"/>
      <c r="H759" s="9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7"/>
      <c r="C760" s="8"/>
      <c r="D760" s="6"/>
      <c r="E760" s="6"/>
      <c r="F760" s="6"/>
      <c r="G760" s="6"/>
      <c r="H760" s="9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7"/>
      <c r="C761" s="8"/>
      <c r="D761" s="6"/>
      <c r="E761" s="6"/>
      <c r="F761" s="6"/>
      <c r="G761" s="6"/>
      <c r="H761" s="9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7"/>
      <c r="C762" s="8"/>
      <c r="D762" s="6"/>
      <c r="E762" s="6"/>
      <c r="F762" s="6"/>
      <c r="G762" s="6"/>
      <c r="H762" s="9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7"/>
      <c r="C763" s="8"/>
      <c r="D763" s="6"/>
      <c r="E763" s="6"/>
      <c r="F763" s="6"/>
      <c r="G763" s="6"/>
      <c r="H763" s="9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7"/>
      <c r="C764" s="8"/>
      <c r="D764" s="6"/>
      <c r="E764" s="6"/>
      <c r="F764" s="6"/>
      <c r="G764" s="6"/>
      <c r="H764" s="9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7"/>
      <c r="C765" s="8"/>
      <c r="D765" s="6"/>
      <c r="E765" s="6"/>
      <c r="F765" s="6"/>
      <c r="G765" s="6"/>
      <c r="H765" s="9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7"/>
      <c r="C766" s="8"/>
      <c r="D766" s="6"/>
      <c r="E766" s="6"/>
      <c r="F766" s="6"/>
      <c r="G766" s="6"/>
      <c r="H766" s="9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7"/>
      <c r="C767" s="8"/>
      <c r="D767" s="6"/>
      <c r="E767" s="6"/>
      <c r="F767" s="6"/>
      <c r="G767" s="6"/>
      <c r="H767" s="9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7"/>
      <c r="C768" s="8"/>
      <c r="D768" s="6"/>
      <c r="E768" s="6"/>
      <c r="F768" s="6"/>
      <c r="G768" s="6"/>
      <c r="H768" s="9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7"/>
      <c r="C769" s="8"/>
      <c r="D769" s="6"/>
      <c r="E769" s="6"/>
      <c r="F769" s="6"/>
      <c r="G769" s="6"/>
      <c r="H769" s="9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7"/>
      <c r="C770" s="8"/>
      <c r="D770" s="6"/>
      <c r="E770" s="6"/>
      <c r="F770" s="6"/>
      <c r="G770" s="6"/>
      <c r="H770" s="9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7"/>
      <c r="C771" s="8"/>
      <c r="D771" s="6"/>
      <c r="E771" s="6"/>
      <c r="F771" s="6"/>
      <c r="G771" s="6"/>
      <c r="H771" s="9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7"/>
      <c r="C772" s="8"/>
      <c r="D772" s="6"/>
      <c r="E772" s="6"/>
      <c r="F772" s="6"/>
      <c r="G772" s="6"/>
      <c r="H772" s="9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7"/>
      <c r="C773" s="8"/>
      <c r="D773" s="6"/>
      <c r="E773" s="6"/>
      <c r="F773" s="6"/>
      <c r="G773" s="6"/>
      <c r="H773" s="9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7"/>
      <c r="C774" s="8"/>
      <c r="D774" s="6"/>
      <c r="E774" s="6"/>
      <c r="F774" s="6"/>
      <c r="G774" s="6"/>
      <c r="H774" s="9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7"/>
      <c r="C775" s="8"/>
      <c r="D775" s="6"/>
      <c r="E775" s="6"/>
      <c r="F775" s="6"/>
      <c r="G775" s="6"/>
      <c r="H775" s="9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7"/>
      <c r="C776" s="8"/>
      <c r="D776" s="6"/>
      <c r="E776" s="6"/>
      <c r="F776" s="6"/>
      <c r="G776" s="6"/>
      <c r="H776" s="9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7"/>
      <c r="C777" s="8"/>
      <c r="D777" s="6"/>
      <c r="E777" s="6"/>
      <c r="F777" s="6"/>
      <c r="G777" s="6"/>
      <c r="H777" s="9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7"/>
      <c r="C778" s="8"/>
      <c r="D778" s="6"/>
      <c r="E778" s="6"/>
      <c r="F778" s="6"/>
      <c r="G778" s="6"/>
      <c r="H778" s="9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7"/>
      <c r="C779" s="8"/>
      <c r="D779" s="6"/>
      <c r="E779" s="6"/>
      <c r="F779" s="6"/>
      <c r="G779" s="6"/>
      <c r="H779" s="9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7"/>
      <c r="C780" s="8"/>
      <c r="D780" s="6"/>
      <c r="E780" s="6"/>
      <c r="F780" s="6"/>
      <c r="G780" s="6"/>
      <c r="H780" s="9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7"/>
      <c r="C781" s="8"/>
      <c r="D781" s="6"/>
      <c r="E781" s="6"/>
      <c r="F781" s="6"/>
      <c r="G781" s="6"/>
      <c r="H781" s="9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7"/>
      <c r="C782" s="8"/>
      <c r="D782" s="6"/>
      <c r="E782" s="6"/>
      <c r="F782" s="6"/>
      <c r="G782" s="6"/>
      <c r="H782" s="9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7"/>
      <c r="C783" s="8"/>
      <c r="D783" s="6"/>
      <c r="E783" s="6"/>
      <c r="F783" s="6"/>
      <c r="G783" s="6"/>
      <c r="H783" s="9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7"/>
      <c r="C784" s="8"/>
      <c r="D784" s="6"/>
      <c r="E784" s="6"/>
      <c r="F784" s="6"/>
      <c r="G784" s="6"/>
      <c r="H784" s="9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7"/>
      <c r="C785" s="8"/>
      <c r="D785" s="6"/>
      <c r="E785" s="6"/>
      <c r="F785" s="6"/>
      <c r="G785" s="6"/>
      <c r="H785" s="9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7"/>
      <c r="C786" s="8"/>
      <c r="D786" s="6"/>
      <c r="E786" s="6"/>
      <c r="F786" s="6"/>
      <c r="G786" s="6"/>
      <c r="H786" s="9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7"/>
      <c r="C787" s="8"/>
      <c r="D787" s="6"/>
      <c r="E787" s="6"/>
      <c r="F787" s="6"/>
      <c r="G787" s="6"/>
      <c r="H787" s="9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7"/>
      <c r="C788" s="8"/>
      <c r="D788" s="6"/>
      <c r="E788" s="6"/>
      <c r="F788" s="6"/>
      <c r="G788" s="6"/>
      <c r="H788" s="9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7"/>
      <c r="C789" s="8"/>
      <c r="D789" s="6"/>
      <c r="E789" s="6"/>
      <c r="F789" s="6"/>
      <c r="G789" s="6"/>
      <c r="H789" s="9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7"/>
      <c r="C790" s="8"/>
      <c r="D790" s="6"/>
      <c r="E790" s="6"/>
      <c r="F790" s="6"/>
      <c r="G790" s="6"/>
      <c r="H790" s="9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7"/>
      <c r="C791" s="8"/>
      <c r="D791" s="6"/>
      <c r="E791" s="6"/>
      <c r="F791" s="6"/>
      <c r="G791" s="6"/>
      <c r="H791" s="9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7"/>
      <c r="C792" s="8"/>
      <c r="D792" s="6"/>
      <c r="E792" s="6"/>
      <c r="F792" s="6"/>
      <c r="G792" s="6"/>
      <c r="H792" s="9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7"/>
      <c r="C793" s="8"/>
      <c r="D793" s="6"/>
      <c r="E793" s="6"/>
      <c r="F793" s="6"/>
      <c r="G793" s="6"/>
      <c r="H793" s="9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7"/>
      <c r="C794" s="8"/>
      <c r="D794" s="6"/>
      <c r="E794" s="6"/>
      <c r="F794" s="6"/>
      <c r="G794" s="6"/>
      <c r="H794" s="9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7"/>
      <c r="C795" s="8"/>
      <c r="D795" s="6"/>
      <c r="E795" s="6"/>
      <c r="F795" s="6"/>
      <c r="G795" s="6"/>
      <c r="H795" s="9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7"/>
      <c r="C796" s="8"/>
      <c r="D796" s="6"/>
      <c r="E796" s="6"/>
      <c r="F796" s="6"/>
      <c r="G796" s="6"/>
      <c r="H796" s="9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7"/>
      <c r="C797" s="8"/>
      <c r="D797" s="6"/>
      <c r="E797" s="6"/>
      <c r="F797" s="6"/>
      <c r="G797" s="6"/>
      <c r="H797" s="9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7"/>
      <c r="C798" s="8"/>
      <c r="D798" s="6"/>
      <c r="E798" s="6"/>
      <c r="F798" s="6"/>
      <c r="G798" s="6"/>
      <c r="H798" s="9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7"/>
      <c r="C799" s="8"/>
      <c r="D799" s="6"/>
      <c r="E799" s="6"/>
      <c r="F799" s="6"/>
      <c r="G799" s="6"/>
      <c r="H799" s="9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7"/>
      <c r="C800" s="8"/>
      <c r="D800" s="6"/>
      <c r="E800" s="6"/>
      <c r="F800" s="6"/>
      <c r="G800" s="6"/>
      <c r="H800" s="9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7"/>
      <c r="C801" s="8"/>
      <c r="D801" s="6"/>
      <c r="E801" s="6"/>
      <c r="F801" s="6"/>
      <c r="G801" s="6"/>
      <c r="H801" s="9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7"/>
      <c r="C802" s="8"/>
      <c r="D802" s="6"/>
      <c r="E802" s="6"/>
      <c r="F802" s="6"/>
      <c r="G802" s="6"/>
      <c r="H802" s="9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7"/>
      <c r="C803" s="8"/>
      <c r="D803" s="6"/>
      <c r="E803" s="6"/>
      <c r="F803" s="6"/>
      <c r="G803" s="6"/>
      <c r="H803" s="9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7"/>
      <c r="C804" s="8"/>
      <c r="D804" s="6"/>
      <c r="E804" s="6"/>
      <c r="F804" s="6"/>
      <c r="G804" s="6"/>
      <c r="H804" s="9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7"/>
      <c r="C805" s="8"/>
      <c r="D805" s="6"/>
      <c r="E805" s="6"/>
      <c r="F805" s="6"/>
      <c r="G805" s="6"/>
      <c r="H805" s="9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7"/>
      <c r="C806" s="8"/>
      <c r="D806" s="6"/>
      <c r="E806" s="6"/>
      <c r="F806" s="6"/>
      <c r="G806" s="6"/>
      <c r="H806" s="9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7"/>
      <c r="C807" s="8"/>
      <c r="D807" s="6"/>
      <c r="E807" s="6"/>
      <c r="F807" s="6"/>
      <c r="G807" s="6"/>
      <c r="H807" s="9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7"/>
      <c r="C808" s="8"/>
      <c r="D808" s="6"/>
      <c r="E808" s="6"/>
      <c r="F808" s="6"/>
      <c r="G808" s="6"/>
      <c r="H808" s="9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7"/>
      <c r="C809" s="8"/>
      <c r="D809" s="6"/>
      <c r="E809" s="6"/>
      <c r="F809" s="6"/>
      <c r="G809" s="6"/>
      <c r="H809" s="9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7"/>
      <c r="C810" s="8"/>
      <c r="D810" s="6"/>
      <c r="E810" s="6"/>
      <c r="F810" s="6"/>
      <c r="G810" s="6"/>
      <c r="H810" s="9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7"/>
      <c r="C811" s="8"/>
      <c r="D811" s="6"/>
      <c r="E811" s="6"/>
      <c r="F811" s="6"/>
      <c r="G811" s="6"/>
      <c r="H811" s="9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7"/>
      <c r="C812" s="8"/>
      <c r="D812" s="6"/>
      <c r="E812" s="6"/>
      <c r="F812" s="6"/>
      <c r="G812" s="6"/>
      <c r="H812" s="9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7"/>
      <c r="C813" s="8"/>
      <c r="D813" s="6"/>
      <c r="E813" s="6"/>
      <c r="F813" s="6"/>
      <c r="G813" s="6"/>
      <c r="H813" s="9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7"/>
      <c r="C814" s="8"/>
      <c r="D814" s="6"/>
      <c r="E814" s="6"/>
      <c r="F814" s="6"/>
      <c r="G814" s="6"/>
      <c r="H814" s="9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7"/>
      <c r="C815" s="8"/>
      <c r="D815" s="6"/>
      <c r="E815" s="6"/>
      <c r="F815" s="6"/>
      <c r="G815" s="6"/>
      <c r="H815" s="9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7"/>
      <c r="C816" s="8"/>
      <c r="D816" s="6"/>
      <c r="E816" s="6"/>
      <c r="F816" s="6"/>
      <c r="G816" s="6"/>
      <c r="H816" s="9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7"/>
      <c r="C817" s="8"/>
      <c r="D817" s="6"/>
      <c r="E817" s="6"/>
      <c r="F817" s="6"/>
      <c r="G817" s="6"/>
      <c r="H817" s="9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7"/>
      <c r="C818" s="8"/>
      <c r="D818" s="6"/>
      <c r="E818" s="6"/>
      <c r="F818" s="6"/>
      <c r="G818" s="6"/>
      <c r="H818" s="9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7"/>
      <c r="C819" s="8"/>
      <c r="D819" s="6"/>
      <c r="E819" s="6"/>
      <c r="F819" s="6"/>
      <c r="G819" s="6"/>
      <c r="H819" s="9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7"/>
      <c r="C820" s="8"/>
      <c r="D820" s="6"/>
      <c r="E820" s="6"/>
      <c r="F820" s="6"/>
      <c r="G820" s="6"/>
      <c r="H820" s="9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7"/>
      <c r="C821" s="8"/>
      <c r="D821" s="6"/>
      <c r="E821" s="6"/>
      <c r="F821" s="6"/>
      <c r="G821" s="6"/>
      <c r="H821" s="9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7"/>
      <c r="C822" s="8"/>
      <c r="D822" s="6"/>
      <c r="E822" s="6"/>
      <c r="F822" s="6"/>
      <c r="G822" s="6"/>
      <c r="H822" s="9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7"/>
      <c r="C823" s="8"/>
      <c r="D823" s="6"/>
      <c r="E823" s="6"/>
      <c r="F823" s="6"/>
      <c r="G823" s="6"/>
      <c r="H823" s="9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7"/>
      <c r="C824" s="8"/>
      <c r="D824" s="6"/>
      <c r="E824" s="6"/>
      <c r="F824" s="6"/>
      <c r="G824" s="6"/>
      <c r="H824" s="9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7"/>
      <c r="C825" s="8"/>
      <c r="D825" s="6"/>
      <c r="E825" s="6"/>
      <c r="F825" s="6"/>
      <c r="G825" s="6"/>
      <c r="H825" s="9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7"/>
      <c r="C826" s="8"/>
      <c r="D826" s="6"/>
      <c r="E826" s="6"/>
      <c r="F826" s="6"/>
      <c r="G826" s="6"/>
      <c r="H826" s="9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7"/>
      <c r="C827" s="8"/>
      <c r="D827" s="6"/>
      <c r="E827" s="6"/>
      <c r="F827" s="6"/>
      <c r="G827" s="6"/>
      <c r="H827" s="9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7"/>
      <c r="C828" s="8"/>
      <c r="D828" s="6"/>
      <c r="E828" s="6"/>
      <c r="F828" s="6"/>
      <c r="G828" s="6"/>
      <c r="H828" s="9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7"/>
      <c r="C829" s="8"/>
      <c r="D829" s="6"/>
      <c r="E829" s="6"/>
      <c r="F829" s="6"/>
      <c r="G829" s="6"/>
      <c r="H829" s="9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7"/>
      <c r="C830" s="8"/>
      <c r="D830" s="6"/>
      <c r="E830" s="6"/>
      <c r="F830" s="6"/>
      <c r="G830" s="6"/>
      <c r="H830" s="9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7"/>
      <c r="C831" s="8"/>
      <c r="D831" s="6"/>
      <c r="E831" s="6"/>
      <c r="F831" s="6"/>
      <c r="G831" s="6"/>
      <c r="H831" s="9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7"/>
      <c r="C832" s="8"/>
      <c r="D832" s="6"/>
      <c r="E832" s="6"/>
      <c r="F832" s="6"/>
      <c r="G832" s="6"/>
      <c r="H832" s="9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7"/>
      <c r="C833" s="8"/>
      <c r="D833" s="6"/>
      <c r="E833" s="6"/>
      <c r="F833" s="6"/>
      <c r="G833" s="6"/>
      <c r="H833" s="9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7"/>
      <c r="C834" s="8"/>
      <c r="D834" s="6"/>
      <c r="E834" s="6"/>
      <c r="F834" s="6"/>
      <c r="G834" s="6"/>
      <c r="H834" s="9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7"/>
      <c r="C835" s="8"/>
      <c r="D835" s="6"/>
      <c r="E835" s="6"/>
      <c r="F835" s="6"/>
      <c r="G835" s="6"/>
      <c r="H835" s="9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7"/>
      <c r="C836" s="8"/>
      <c r="D836" s="6"/>
      <c r="E836" s="6"/>
      <c r="F836" s="6"/>
      <c r="G836" s="6"/>
      <c r="H836" s="9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7"/>
      <c r="C837" s="8"/>
      <c r="D837" s="6"/>
      <c r="E837" s="6"/>
      <c r="F837" s="6"/>
      <c r="G837" s="6"/>
      <c r="H837" s="9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7"/>
      <c r="C838" s="8"/>
      <c r="D838" s="6"/>
      <c r="E838" s="6"/>
      <c r="F838" s="6"/>
      <c r="G838" s="6"/>
      <c r="H838" s="9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7"/>
      <c r="C839" s="8"/>
      <c r="D839" s="6"/>
      <c r="E839" s="6"/>
      <c r="F839" s="6"/>
      <c r="G839" s="6"/>
      <c r="H839" s="9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7"/>
      <c r="C840" s="8"/>
      <c r="D840" s="6"/>
      <c r="E840" s="6"/>
      <c r="F840" s="6"/>
      <c r="G840" s="6"/>
      <c r="H840" s="9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7"/>
      <c r="C841" s="8"/>
      <c r="D841" s="6"/>
      <c r="E841" s="6"/>
      <c r="F841" s="6"/>
      <c r="G841" s="6"/>
      <c r="H841" s="9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7"/>
      <c r="C842" s="8"/>
      <c r="D842" s="6"/>
      <c r="E842" s="6"/>
      <c r="F842" s="6"/>
      <c r="G842" s="6"/>
      <c r="H842" s="9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7"/>
      <c r="C843" s="8"/>
      <c r="D843" s="6"/>
      <c r="E843" s="6"/>
      <c r="F843" s="6"/>
      <c r="G843" s="6"/>
      <c r="H843" s="9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7"/>
      <c r="C844" s="8"/>
      <c r="D844" s="6"/>
      <c r="E844" s="6"/>
      <c r="F844" s="6"/>
      <c r="G844" s="6"/>
      <c r="H844" s="9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7"/>
      <c r="C845" s="8"/>
      <c r="D845" s="6"/>
      <c r="E845" s="6"/>
      <c r="F845" s="6"/>
      <c r="G845" s="6"/>
      <c r="H845" s="9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7"/>
      <c r="C846" s="8"/>
      <c r="D846" s="6"/>
      <c r="E846" s="6"/>
      <c r="F846" s="6"/>
      <c r="G846" s="6"/>
      <c r="H846" s="9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7"/>
      <c r="C847" s="8"/>
      <c r="D847" s="6"/>
      <c r="E847" s="6"/>
      <c r="F847" s="6"/>
      <c r="G847" s="6"/>
      <c r="H847" s="9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7"/>
      <c r="C848" s="8"/>
      <c r="D848" s="6"/>
      <c r="E848" s="6"/>
      <c r="F848" s="6"/>
      <c r="G848" s="6"/>
      <c r="H848" s="9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7"/>
      <c r="C849" s="8"/>
      <c r="D849" s="6"/>
      <c r="E849" s="6"/>
      <c r="F849" s="6"/>
      <c r="G849" s="6"/>
      <c r="H849" s="9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7"/>
      <c r="C850" s="8"/>
      <c r="D850" s="6"/>
      <c r="E850" s="6"/>
      <c r="F850" s="6"/>
      <c r="G850" s="6"/>
      <c r="H850" s="9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7"/>
      <c r="C851" s="8"/>
      <c r="D851" s="6"/>
      <c r="E851" s="6"/>
      <c r="F851" s="6"/>
      <c r="G851" s="6"/>
      <c r="H851" s="9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7"/>
      <c r="C852" s="8"/>
      <c r="D852" s="6"/>
      <c r="E852" s="6"/>
      <c r="F852" s="6"/>
      <c r="G852" s="6"/>
      <c r="H852" s="9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7"/>
      <c r="C853" s="8"/>
      <c r="D853" s="6"/>
      <c r="E853" s="6"/>
      <c r="F853" s="6"/>
      <c r="G853" s="6"/>
      <c r="H853" s="9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7"/>
      <c r="C854" s="8"/>
      <c r="D854" s="6"/>
      <c r="E854" s="6"/>
      <c r="F854" s="6"/>
      <c r="G854" s="6"/>
      <c r="H854" s="9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7"/>
      <c r="C855" s="8"/>
      <c r="D855" s="6"/>
      <c r="E855" s="6"/>
      <c r="F855" s="6"/>
      <c r="G855" s="6"/>
      <c r="H855" s="9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7"/>
      <c r="C856" s="8"/>
      <c r="D856" s="6"/>
      <c r="E856" s="6"/>
      <c r="F856" s="6"/>
      <c r="G856" s="6"/>
      <c r="H856" s="9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7"/>
      <c r="C857" s="8"/>
      <c r="D857" s="6"/>
      <c r="E857" s="6"/>
      <c r="F857" s="6"/>
      <c r="G857" s="6"/>
      <c r="H857" s="9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7"/>
      <c r="C858" s="8"/>
      <c r="D858" s="6"/>
      <c r="E858" s="6"/>
      <c r="F858" s="6"/>
      <c r="G858" s="6"/>
      <c r="H858" s="9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7"/>
      <c r="C859" s="8"/>
      <c r="D859" s="6"/>
      <c r="E859" s="6"/>
      <c r="F859" s="6"/>
      <c r="G859" s="6"/>
      <c r="H859" s="9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7"/>
      <c r="C860" s="8"/>
      <c r="D860" s="6"/>
      <c r="E860" s="6"/>
      <c r="F860" s="6"/>
      <c r="G860" s="6"/>
      <c r="H860" s="9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7"/>
      <c r="C861" s="8"/>
      <c r="D861" s="6"/>
      <c r="E861" s="6"/>
      <c r="F861" s="6"/>
      <c r="G861" s="6"/>
      <c r="H861" s="9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7"/>
      <c r="C862" s="8"/>
      <c r="D862" s="6"/>
      <c r="E862" s="6"/>
      <c r="F862" s="6"/>
      <c r="G862" s="6"/>
      <c r="H862" s="9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7"/>
      <c r="C863" s="8"/>
      <c r="D863" s="6"/>
      <c r="E863" s="6"/>
      <c r="F863" s="6"/>
      <c r="G863" s="6"/>
      <c r="H863" s="9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7"/>
      <c r="C864" s="8"/>
      <c r="D864" s="6"/>
      <c r="E864" s="6"/>
      <c r="F864" s="6"/>
      <c r="G864" s="6"/>
      <c r="H864" s="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7"/>
      <c r="C865" s="8"/>
      <c r="D865" s="6"/>
      <c r="E865" s="6"/>
      <c r="F865" s="6"/>
      <c r="G865" s="6"/>
      <c r="H865" s="9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7"/>
      <c r="C866" s="8"/>
      <c r="D866" s="6"/>
      <c r="E866" s="6"/>
      <c r="F866" s="6"/>
      <c r="G866" s="6"/>
      <c r="H866" s="9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7"/>
      <c r="C867" s="8"/>
      <c r="D867" s="6"/>
      <c r="E867" s="6"/>
      <c r="F867" s="6"/>
      <c r="G867" s="6"/>
      <c r="H867" s="9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7"/>
      <c r="C868" s="8"/>
      <c r="D868" s="6"/>
      <c r="E868" s="6"/>
      <c r="F868" s="6"/>
      <c r="G868" s="6"/>
      <c r="H868" s="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7"/>
      <c r="C869" s="8"/>
      <c r="D869" s="6"/>
      <c r="E869" s="6"/>
      <c r="F869" s="6"/>
      <c r="G869" s="6"/>
      <c r="H869" s="9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7"/>
      <c r="C870" s="8"/>
      <c r="D870" s="6"/>
      <c r="E870" s="6"/>
      <c r="F870" s="6"/>
      <c r="G870" s="6"/>
      <c r="H870" s="9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7"/>
      <c r="C871" s="8"/>
      <c r="D871" s="6"/>
      <c r="E871" s="6"/>
      <c r="F871" s="6"/>
      <c r="G871" s="6"/>
      <c r="H871" s="9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7"/>
      <c r="C872" s="8"/>
      <c r="D872" s="6"/>
      <c r="E872" s="6"/>
      <c r="F872" s="6"/>
      <c r="G872" s="6"/>
      <c r="H872" s="9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7"/>
      <c r="C873" s="8"/>
      <c r="D873" s="6"/>
      <c r="E873" s="6"/>
      <c r="F873" s="6"/>
      <c r="G873" s="6"/>
      <c r="H873" s="9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7"/>
      <c r="C874" s="8"/>
      <c r="D874" s="6"/>
      <c r="E874" s="6"/>
      <c r="F874" s="6"/>
      <c r="G874" s="6"/>
      <c r="H874" s="9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7"/>
      <c r="C875" s="8"/>
      <c r="D875" s="6"/>
      <c r="E875" s="6"/>
      <c r="F875" s="6"/>
      <c r="G875" s="6"/>
      <c r="H875" s="9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7"/>
      <c r="C876" s="8"/>
      <c r="D876" s="6"/>
      <c r="E876" s="6"/>
      <c r="F876" s="6"/>
      <c r="G876" s="6"/>
      <c r="H876" s="9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7"/>
      <c r="C877" s="8"/>
      <c r="D877" s="6"/>
      <c r="E877" s="6"/>
      <c r="F877" s="6"/>
      <c r="G877" s="6"/>
      <c r="H877" s="9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7"/>
      <c r="C878" s="8"/>
      <c r="D878" s="6"/>
      <c r="E878" s="6"/>
      <c r="F878" s="6"/>
      <c r="G878" s="6"/>
      <c r="H878" s="9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7"/>
      <c r="C879" s="8"/>
      <c r="D879" s="6"/>
      <c r="E879" s="6"/>
      <c r="F879" s="6"/>
      <c r="G879" s="6"/>
      <c r="H879" s="9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7"/>
      <c r="C880" s="8"/>
      <c r="D880" s="6"/>
      <c r="E880" s="6"/>
      <c r="F880" s="6"/>
      <c r="G880" s="6"/>
      <c r="H880" s="9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7"/>
      <c r="C881" s="8"/>
      <c r="D881" s="6"/>
      <c r="E881" s="6"/>
      <c r="F881" s="6"/>
      <c r="G881" s="6"/>
      <c r="H881" s="9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7"/>
      <c r="C882" s="8"/>
      <c r="D882" s="6"/>
      <c r="E882" s="6"/>
      <c r="F882" s="6"/>
      <c r="G882" s="6"/>
      <c r="H882" s="9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7"/>
      <c r="C883" s="8"/>
      <c r="D883" s="6"/>
      <c r="E883" s="6"/>
      <c r="F883" s="6"/>
      <c r="G883" s="6"/>
      <c r="H883" s="9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7"/>
      <c r="C884" s="8"/>
      <c r="D884" s="6"/>
      <c r="E884" s="6"/>
      <c r="F884" s="6"/>
      <c r="G884" s="6"/>
      <c r="H884" s="9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7"/>
      <c r="C885" s="8"/>
      <c r="D885" s="6"/>
      <c r="E885" s="6"/>
      <c r="F885" s="6"/>
      <c r="G885" s="6"/>
      <c r="H885" s="9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7"/>
      <c r="C886" s="8"/>
      <c r="D886" s="6"/>
      <c r="E886" s="6"/>
      <c r="F886" s="6"/>
      <c r="G886" s="6"/>
      <c r="H886" s="9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7"/>
      <c r="C887" s="8"/>
      <c r="D887" s="6"/>
      <c r="E887" s="6"/>
      <c r="F887" s="6"/>
      <c r="G887" s="6"/>
      <c r="H887" s="9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7"/>
      <c r="C888" s="8"/>
      <c r="D888" s="6"/>
      <c r="E888" s="6"/>
      <c r="F888" s="6"/>
      <c r="G888" s="6"/>
      <c r="H888" s="9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7"/>
      <c r="C889" s="8"/>
      <c r="D889" s="6"/>
      <c r="E889" s="6"/>
      <c r="F889" s="6"/>
      <c r="G889" s="6"/>
      <c r="H889" s="9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7"/>
      <c r="C890" s="8"/>
      <c r="D890" s="6"/>
      <c r="E890" s="6"/>
      <c r="F890" s="6"/>
      <c r="G890" s="6"/>
      <c r="H890" s="9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7"/>
      <c r="C891" s="8"/>
      <c r="D891" s="6"/>
      <c r="E891" s="6"/>
      <c r="F891" s="6"/>
      <c r="G891" s="6"/>
      <c r="H891" s="9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7"/>
      <c r="C892" s="8"/>
      <c r="D892" s="6"/>
      <c r="E892" s="6"/>
      <c r="F892" s="6"/>
      <c r="G892" s="6"/>
      <c r="H892" s="9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7"/>
      <c r="C893" s="8"/>
      <c r="D893" s="6"/>
      <c r="E893" s="6"/>
      <c r="F893" s="6"/>
      <c r="G893" s="6"/>
      <c r="H893" s="9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7"/>
      <c r="C894" s="8"/>
      <c r="D894" s="6"/>
      <c r="E894" s="6"/>
      <c r="F894" s="6"/>
      <c r="G894" s="6"/>
      <c r="H894" s="9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7"/>
      <c r="C895" s="8"/>
      <c r="D895" s="6"/>
      <c r="E895" s="6"/>
      <c r="F895" s="6"/>
      <c r="G895" s="6"/>
      <c r="H895" s="9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7"/>
      <c r="C896" s="8"/>
      <c r="D896" s="6"/>
      <c r="E896" s="6"/>
      <c r="F896" s="6"/>
      <c r="G896" s="6"/>
      <c r="H896" s="9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7"/>
      <c r="C897" s="8"/>
      <c r="D897" s="6"/>
      <c r="E897" s="6"/>
      <c r="F897" s="6"/>
      <c r="G897" s="6"/>
      <c r="H897" s="9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7"/>
      <c r="C898" s="8"/>
      <c r="D898" s="6"/>
      <c r="E898" s="6"/>
      <c r="F898" s="6"/>
      <c r="G898" s="6"/>
      <c r="H898" s="9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7"/>
      <c r="C899" s="8"/>
      <c r="D899" s="6"/>
      <c r="E899" s="6"/>
      <c r="F899" s="6"/>
      <c r="G899" s="6"/>
      <c r="H899" s="9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7"/>
      <c r="C900" s="8"/>
      <c r="D900" s="6"/>
      <c r="E900" s="6"/>
      <c r="F900" s="6"/>
      <c r="G900" s="6"/>
      <c r="H900" s="9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7"/>
      <c r="C901" s="8"/>
      <c r="D901" s="6"/>
      <c r="E901" s="6"/>
      <c r="F901" s="6"/>
      <c r="G901" s="6"/>
      <c r="H901" s="9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7"/>
      <c r="C902" s="8"/>
      <c r="D902" s="6"/>
      <c r="E902" s="6"/>
      <c r="F902" s="6"/>
      <c r="G902" s="6"/>
      <c r="H902" s="9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7"/>
      <c r="C903" s="8"/>
      <c r="D903" s="6"/>
      <c r="E903" s="6"/>
      <c r="F903" s="6"/>
      <c r="G903" s="6"/>
      <c r="H903" s="9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7"/>
      <c r="C904" s="8"/>
      <c r="D904" s="6"/>
      <c r="E904" s="6"/>
      <c r="F904" s="6"/>
      <c r="G904" s="6"/>
      <c r="H904" s="9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7"/>
      <c r="C905" s="8"/>
      <c r="D905" s="6"/>
      <c r="E905" s="6"/>
      <c r="F905" s="6"/>
      <c r="G905" s="6"/>
      <c r="H905" s="9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7"/>
      <c r="C906" s="8"/>
      <c r="D906" s="6"/>
      <c r="E906" s="6"/>
      <c r="F906" s="6"/>
      <c r="G906" s="6"/>
      <c r="H906" s="9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7"/>
      <c r="C907" s="8"/>
      <c r="D907" s="6"/>
      <c r="E907" s="6"/>
      <c r="F907" s="6"/>
      <c r="G907" s="6"/>
      <c r="H907" s="9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7"/>
      <c r="C908" s="8"/>
      <c r="D908" s="6"/>
      <c r="E908" s="6"/>
      <c r="F908" s="6"/>
      <c r="G908" s="6"/>
      <c r="H908" s="9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7"/>
      <c r="C909" s="8"/>
      <c r="D909" s="6"/>
      <c r="E909" s="6"/>
      <c r="F909" s="6"/>
      <c r="G909" s="6"/>
      <c r="H909" s="9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7"/>
      <c r="C910" s="8"/>
      <c r="D910" s="6"/>
      <c r="E910" s="6"/>
      <c r="F910" s="6"/>
      <c r="G910" s="6"/>
      <c r="H910" s="9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7"/>
      <c r="C911" s="8"/>
      <c r="D911" s="6"/>
      <c r="E911" s="6"/>
      <c r="F911" s="6"/>
      <c r="G911" s="6"/>
      <c r="H911" s="9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7"/>
      <c r="C912" s="8"/>
      <c r="D912" s="6"/>
      <c r="E912" s="6"/>
      <c r="F912" s="6"/>
      <c r="G912" s="6"/>
      <c r="H912" s="9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7"/>
      <c r="C913" s="8"/>
      <c r="D913" s="6"/>
      <c r="E913" s="6"/>
      <c r="F913" s="6"/>
      <c r="G913" s="6"/>
      <c r="H913" s="9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7"/>
      <c r="C914" s="8"/>
      <c r="D914" s="6"/>
      <c r="E914" s="6"/>
      <c r="F914" s="6"/>
      <c r="G914" s="6"/>
      <c r="H914" s="9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7"/>
      <c r="C915" s="8"/>
      <c r="D915" s="6"/>
      <c r="E915" s="6"/>
      <c r="F915" s="6"/>
      <c r="G915" s="6"/>
      <c r="H915" s="9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7"/>
      <c r="C916" s="8"/>
      <c r="D916" s="6"/>
      <c r="E916" s="6"/>
      <c r="F916" s="6"/>
      <c r="G916" s="6"/>
      <c r="H916" s="9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7"/>
      <c r="C917" s="8"/>
      <c r="D917" s="6"/>
      <c r="E917" s="6"/>
      <c r="F917" s="6"/>
      <c r="G917" s="6"/>
      <c r="H917" s="9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7"/>
      <c r="C918" s="8"/>
      <c r="D918" s="6"/>
      <c r="E918" s="6"/>
      <c r="F918" s="6"/>
      <c r="G918" s="6"/>
      <c r="H918" s="9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7"/>
      <c r="C919" s="8"/>
      <c r="D919" s="6"/>
      <c r="E919" s="6"/>
      <c r="F919" s="6"/>
      <c r="G919" s="6"/>
      <c r="H919" s="9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7"/>
      <c r="C920" s="8"/>
      <c r="D920" s="6"/>
      <c r="E920" s="6"/>
      <c r="F920" s="6"/>
      <c r="G920" s="6"/>
      <c r="H920" s="9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7"/>
      <c r="C921" s="8"/>
      <c r="D921" s="6"/>
      <c r="E921" s="6"/>
      <c r="F921" s="6"/>
      <c r="G921" s="6"/>
      <c r="H921" s="9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7"/>
      <c r="C922" s="8"/>
      <c r="D922" s="6"/>
      <c r="E922" s="6"/>
      <c r="F922" s="6"/>
      <c r="G922" s="6"/>
      <c r="H922" s="9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7"/>
      <c r="C923" s="8"/>
      <c r="D923" s="6"/>
      <c r="E923" s="6"/>
      <c r="F923" s="6"/>
      <c r="G923" s="6"/>
      <c r="H923" s="9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7"/>
      <c r="C924" s="8"/>
      <c r="D924" s="6"/>
      <c r="E924" s="6"/>
      <c r="F924" s="6"/>
      <c r="G924" s="6"/>
      <c r="H924" s="9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7"/>
      <c r="C925" s="8"/>
      <c r="D925" s="6"/>
      <c r="E925" s="6"/>
      <c r="F925" s="6"/>
      <c r="G925" s="6"/>
      <c r="H925" s="9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7"/>
      <c r="C926" s="8"/>
      <c r="D926" s="6"/>
      <c r="E926" s="6"/>
      <c r="F926" s="6"/>
      <c r="G926" s="6"/>
      <c r="H926" s="9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7"/>
      <c r="C927" s="8"/>
      <c r="D927" s="6"/>
      <c r="E927" s="6"/>
      <c r="F927" s="6"/>
      <c r="G927" s="6"/>
      <c r="H927" s="9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7"/>
      <c r="C928" s="8"/>
      <c r="D928" s="6"/>
      <c r="E928" s="6"/>
      <c r="F928" s="6"/>
      <c r="G928" s="6"/>
      <c r="H928" s="9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7"/>
      <c r="C929" s="8"/>
      <c r="D929" s="6"/>
      <c r="E929" s="6"/>
      <c r="F929" s="6"/>
      <c r="G929" s="6"/>
      <c r="H929" s="9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7"/>
      <c r="C930" s="8"/>
      <c r="D930" s="6"/>
      <c r="E930" s="6"/>
      <c r="F930" s="6"/>
      <c r="G930" s="6"/>
      <c r="H930" s="9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7"/>
      <c r="C931" s="8"/>
      <c r="D931" s="6"/>
      <c r="E931" s="6"/>
      <c r="F931" s="6"/>
      <c r="G931" s="6"/>
      <c r="H931" s="9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7"/>
      <c r="C932" s="8"/>
      <c r="D932" s="6"/>
      <c r="E932" s="6"/>
      <c r="F932" s="6"/>
      <c r="G932" s="6"/>
      <c r="H932" s="9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7"/>
      <c r="C933" s="8"/>
      <c r="D933" s="6"/>
      <c r="E933" s="6"/>
      <c r="F933" s="6"/>
      <c r="G933" s="6"/>
      <c r="H933" s="9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7"/>
      <c r="C934" s="8"/>
      <c r="D934" s="6"/>
      <c r="E934" s="6"/>
      <c r="F934" s="6"/>
      <c r="G934" s="6"/>
      <c r="H934" s="9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7"/>
      <c r="C935" s="8"/>
      <c r="D935" s="6"/>
      <c r="E935" s="6"/>
      <c r="F935" s="6"/>
      <c r="G935" s="6"/>
      <c r="H935" s="9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7"/>
      <c r="C936" s="8"/>
      <c r="D936" s="6"/>
      <c r="E936" s="6"/>
      <c r="F936" s="6"/>
      <c r="G936" s="6"/>
      <c r="H936" s="9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7"/>
      <c r="C937" s="8"/>
      <c r="D937" s="6"/>
      <c r="E937" s="6"/>
      <c r="F937" s="6"/>
      <c r="G937" s="6"/>
      <c r="H937" s="9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7"/>
      <c r="C938" s="8"/>
      <c r="D938" s="6"/>
      <c r="E938" s="6"/>
      <c r="F938" s="6"/>
      <c r="G938" s="6"/>
      <c r="H938" s="9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7"/>
      <c r="C939" s="8"/>
      <c r="D939" s="6"/>
      <c r="E939" s="6"/>
      <c r="F939" s="6"/>
      <c r="G939" s="6"/>
      <c r="H939" s="9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7"/>
      <c r="C940" s="8"/>
      <c r="D940" s="6"/>
      <c r="E940" s="6"/>
      <c r="F940" s="6"/>
      <c r="G940" s="6"/>
      <c r="H940" s="9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7"/>
      <c r="C941" s="8"/>
      <c r="D941" s="6"/>
      <c r="E941" s="6"/>
      <c r="F941" s="6"/>
      <c r="G941" s="6"/>
      <c r="H941" s="9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7"/>
      <c r="C942" s="8"/>
      <c r="D942" s="6"/>
      <c r="E942" s="6"/>
      <c r="F942" s="6"/>
      <c r="G942" s="6"/>
      <c r="H942" s="9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7"/>
      <c r="C943" s="8"/>
      <c r="D943" s="6"/>
      <c r="E943" s="6"/>
      <c r="F943" s="6"/>
      <c r="G943" s="6"/>
      <c r="H943" s="9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7"/>
      <c r="C944" s="8"/>
      <c r="D944" s="6"/>
      <c r="E944" s="6"/>
      <c r="F944" s="6"/>
      <c r="G944" s="6"/>
      <c r="H944" s="9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7"/>
      <c r="C945" s="8"/>
      <c r="D945" s="6"/>
      <c r="E945" s="6"/>
      <c r="F945" s="6"/>
      <c r="G945" s="6"/>
      <c r="H945" s="9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7"/>
      <c r="C946" s="8"/>
      <c r="D946" s="6"/>
      <c r="E946" s="6"/>
      <c r="F946" s="6"/>
      <c r="G946" s="6"/>
      <c r="H946" s="9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7"/>
      <c r="C947" s="8"/>
      <c r="D947" s="6"/>
      <c r="E947" s="6"/>
      <c r="F947" s="6"/>
      <c r="G947" s="6"/>
      <c r="H947" s="9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7"/>
      <c r="C948" s="8"/>
      <c r="D948" s="6"/>
      <c r="E948" s="6"/>
      <c r="F948" s="6"/>
      <c r="G948" s="6"/>
      <c r="H948" s="9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7"/>
      <c r="C949" s="8"/>
      <c r="D949" s="6"/>
      <c r="E949" s="6"/>
      <c r="F949" s="6"/>
      <c r="G949" s="6"/>
      <c r="H949" s="9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7"/>
      <c r="C950" s="8"/>
      <c r="D950" s="6"/>
      <c r="E950" s="6"/>
      <c r="F950" s="6"/>
      <c r="G950" s="6"/>
      <c r="H950" s="9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7"/>
      <c r="C951" s="8"/>
      <c r="D951" s="6"/>
      <c r="E951" s="6"/>
      <c r="F951" s="6"/>
      <c r="G951" s="6"/>
      <c r="H951" s="9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7"/>
      <c r="C952" s="8"/>
      <c r="D952" s="6"/>
      <c r="E952" s="6"/>
      <c r="F952" s="6"/>
      <c r="G952" s="6"/>
      <c r="H952" s="9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7"/>
      <c r="C953" s="8"/>
      <c r="D953" s="6"/>
      <c r="E953" s="6"/>
      <c r="F953" s="6"/>
      <c r="G953" s="6"/>
      <c r="H953" s="9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7"/>
      <c r="C954" s="8"/>
      <c r="D954" s="6"/>
      <c r="E954" s="6"/>
      <c r="F954" s="6"/>
      <c r="G954" s="6"/>
      <c r="H954" s="9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7"/>
      <c r="C955" s="8"/>
      <c r="D955" s="6"/>
      <c r="E955" s="6"/>
      <c r="F955" s="6"/>
      <c r="G955" s="6"/>
      <c r="H955" s="9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7"/>
      <c r="C956" s="8"/>
      <c r="D956" s="6"/>
      <c r="E956" s="6"/>
      <c r="F956" s="6"/>
      <c r="G956" s="6"/>
      <c r="H956" s="9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7"/>
      <c r="C957" s="8"/>
      <c r="D957" s="6"/>
      <c r="E957" s="6"/>
      <c r="F957" s="6"/>
      <c r="G957" s="6"/>
      <c r="H957" s="9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7"/>
      <c r="C958" s="8"/>
      <c r="D958" s="6"/>
      <c r="E958" s="6"/>
      <c r="F958" s="6"/>
      <c r="G958" s="6"/>
      <c r="H958" s="9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7"/>
      <c r="C959" s="8"/>
      <c r="D959" s="6"/>
      <c r="E959" s="6"/>
      <c r="F959" s="6"/>
      <c r="G959" s="6"/>
      <c r="H959" s="9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7"/>
      <c r="C960" s="8"/>
      <c r="D960" s="6"/>
      <c r="E960" s="6"/>
      <c r="F960" s="6"/>
      <c r="G960" s="6"/>
      <c r="H960" s="9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7"/>
      <c r="C961" s="8"/>
      <c r="D961" s="6"/>
      <c r="E961" s="6"/>
      <c r="F961" s="6"/>
      <c r="G961" s="6"/>
      <c r="H961" s="9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7"/>
      <c r="C962" s="8"/>
      <c r="D962" s="6"/>
      <c r="E962" s="6"/>
      <c r="F962" s="6"/>
      <c r="G962" s="6"/>
      <c r="H962" s="9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7"/>
      <c r="C963" s="8"/>
      <c r="D963" s="6"/>
      <c r="E963" s="6"/>
      <c r="F963" s="6"/>
      <c r="G963" s="6"/>
      <c r="H963" s="9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7"/>
      <c r="C964" s="8"/>
      <c r="D964" s="6"/>
      <c r="E964" s="6"/>
      <c r="F964" s="6"/>
      <c r="G964" s="6"/>
      <c r="H964" s="9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7"/>
      <c r="C965" s="8"/>
      <c r="D965" s="6"/>
      <c r="E965" s="6"/>
      <c r="F965" s="6"/>
      <c r="G965" s="6"/>
      <c r="H965" s="9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7"/>
      <c r="C966" s="8"/>
      <c r="D966" s="6"/>
      <c r="E966" s="6"/>
      <c r="F966" s="6"/>
      <c r="G966" s="6"/>
      <c r="H966" s="9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7"/>
      <c r="C967" s="8"/>
      <c r="D967" s="6"/>
      <c r="E967" s="6"/>
      <c r="F967" s="6"/>
      <c r="G967" s="6"/>
      <c r="H967" s="9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7"/>
      <c r="C968" s="8"/>
      <c r="D968" s="6"/>
      <c r="E968" s="6"/>
      <c r="F968" s="6"/>
      <c r="G968" s="6"/>
      <c r="H968" s="9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7"/>
      <c r="C969" s="8"/>
      <c r="D969" s="6"/>
      <c r="E969" s="6"/>
      <c r="F969" s="6"/>
      <c r="G969" s="6"/>
      <c r="H969" s="9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7"/>
      <c r="C970" s="8"/>
      <c r="D970" s="6"/>
      <c r="E970" s="6"/>
      <c r="F970" s="6"/>
      <c r="G970" s="6"/>
      <c r="H970" s="9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7"/>
      <c r="C971" s="8"/>
      <c r="D971" s="6"/>
      <c r="E971" s="6"/>
      <c r="F971" s="6"/>
      <c r="G971" s="6"/>
      <c r="H971" s="9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7"/>
      <c r="C972" s="8"/>
      <c r="D972" s="6"/>
      <c r="E972" s="6"/>
      <c r="F972" s="6"/>
      <c r="G972" s="6"/>
      <c r="H972" s="9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7"/>
      <c r="C973" s="8"/>
      <c r="D973" s="6"/>
      <c r="E973" s="6"/>
      <c r="F973" s="6"/>
      <c r="G973" s="6"/>
      <c r="H973" s="9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7"/>
      <c r="C974" s="8"/>
      <c r="D974" s="6"/>
      <c r="E974" s="6"/>
      <c r="F974" s="6"/>
      <c r="G974" s="6"/>
      <c r="H974" s="9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7"/>
      <c r="C975" s="8"/>
      <c r="D975" s="6"/>
      <c r="E975" s="6"/>
      <c r="F975" s="6"/>
      <c r="G975" s="6"/>
      <c r="H975" s="9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7"/>
      <c r="C976" s="8"/>
      <c r="D976" s="6"/>
      <c r="E976" s="6"/>
      <c r="F976" s="6"/>
      <c r="G976" s="6"/>
      <c r="H976" s="9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7"/>
      <c r="C977" s="8"/>
      <c r="D977" s="6"/>
      <c r="E977" s="6"/>
      <c r="F977" s="6"/>
      <c r="G977" s="6"/>
      <c r="H977" s="9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7"/>
      <c r="C978" s="8"/>
      <c r="D978" s="6"/>
      <c r="E978" s="6"/>
      <c r="F978" s="6"/>
      <c r="G978" s="6"/>
      <c r="H978" s="9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7"/>
      <c r="C979" s="8"/>
      <c r="D979" s="6"/>
      <c r="E979" s="6"/>
      <c r="F979" s="6"/>
      <c r="G979" s="6"/>
      <c r="H979" s="9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7"/>
      <c r="C980" s="8"/>
      <c r="D980" s="6"/>
      <c r="E980" s="6"/>
      <c r="F980" s="6"/>
      <c r="G980" s="6"/>
      <c r="H980" s="9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7"/>
      <c r="C981" s="8"/>
      <c r="D981" s="6"/>
      <c r="E981" s="6"/>
      <c r="F981" s="6"/>
      <c r="G981" s="6"/>
      <c r="H981" s="9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7"/>
      <c r="C982" s="8"/>
      <c r="D982" s="6"/>
      <c r="E982" s="6"/>
      <c r="F982" s="6"/>
      <c r="G982" s="6"/>
      <c r="H982" s="9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7"/>
      <c r="C983" s="8"/>
      <c r="D983" s="6"/>
      <c r="E983" s="6"/>
      <c r="F983" s="6"/>
      <c r="G983" s="6"/>
      <c r="H983" s="9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7"/>
      <c r="C984" s="8"/>
      <c r="D984" s="6"/>
      <c r="E984" s="6"/>
      <c r="F984" s="6"/>
      <c r="G984" s="6"/>
      <c r="H984" s="9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7"/>
      <c r="C985" s="8"/>
      <c r="D985" s="6"/>
      <c r="E985" s="6"/>
      <c r="F985" s="6"/>
      <c r="G985" s="6"/>
      <c r="H985" s="9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7"/>
      <c r="C986" s="8"/>
      <c r="D986" s="6"/>
      <c r="E986" s="6"/>
      <c r="F986" s="6"/>
      <c r="G986" s="6"/>
      <c r="H986" s="9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7"/>
      <c r="C987" s="8"/>
      <c r="D987" s="6"/>
      <c r="E987" s="6"/>
      <c r="F987" s="6"/>
      <c r="G987" s="6"/>
      <c r="H987" s="9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7"/>
      <c r="C988" s="8"/>
      <c r="D988" s="6"/>
      <c r="E988" s="6"/>
      <c r="F988" s="6"/>
      <c r="G988" s="6"/>
      <c r="H988" s="9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7"/>
      <c r="C989" s="8"/>
      <c r="D989" s="6"/>
      <c r="E989" s="6"/>
      <c r="F989" s="6"/>
      <c r="G989" s="6"/>
      <c r="H989" s="9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7"/>
      <c r="C990" s="8"/>
      <c r="D990" s="6"/>
      <c r="E990" s="6"/>
      <c r="F990" s="6"/>
      <c r="G990" s="6"/>
      <c r="H990" s="9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7"/>
      <c r="C991" s="8"/>
      <c r="D991" s="6"/>
      <c r="E991" s="6"/>
      <c r="F991" s="6"/>
      <c r="G991" s="6"/>
      <c r="H991" s="9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7"/>
      <c r="C992" s="8"/>
      <c r="D992" s="6"/>
      <c r="E992" s="6"/>
      <c r="F992" s="6"/>
      <c r="G992" s="6"/>
      <c r="H992" s="9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7"/>
      <c r="C993" s="8"/>
      <c r="D993" s="6"/>
      <c r="E993" s="6"/>
      <c r="F993" s="6"/>
      <c r="G993" s="6"/>
      <c r="H993" s="9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7"/>
      <c r="C994" s="8"/>
      <c r="D994" s="6"/>
      <c r="E994" s="6"/>
      <c r="F994" s="6"/>
      <c r="G994" s="6"/>
      <c r="H994" s="9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7"/>
      <c r="C995" s="8"/>
      <c r="D995" s="6"/>
      <c r="E995" s="6"/>
      <c r="F995" s="6"/>
      <c r="G995" s="6"/>
      <c r="H995" s="9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7"/>
      <c r="C996" s="8"/>
      <c r="D996" s="6"/>
      <c r="E996" s="6"/>
      <c r="F996" s="6"/>
      <c r="G996" s="6"/>
      <c r="H996" s="9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7"/>
      <c r="C997" s="8"/>
      <c r="D997" s="6"/>
      <c r="E997" s="6"/>
      <c r="F997" s="6"/>
      <c r="G997" s="6"/>
      <c r="H997" s="9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7"/>
      <c r="C998" s="8"/>
      <c r="D998" s="6"/>
      <c r="E998" s="6"/>
      <c r="F998" s="6"/>
      <c r="G998" s="6"/>
      <c r="H998" s="9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7"/>
      <c r="C999" s="8"/>
      <c r="D999" s="6"/>
      <c r="E999" s="6"/>
      <c r="F999" s="6"/>
      <c r="G999" s="6"/>
      <c r="H999" s="9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7"/>
      <c r="C1000" s="8"/>
      <c r="D1000" s="6"/>
      <c r="E1000" s="6"/>
      <c r="F1000" s="6"/>
      <c r="G1000" s="6"/>
      <c r="H1000" s="9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426</v>
      </c>
      <c r="B1" s="12" t="s">
        <v>427</v>
      </c>
    </row>
    <row r="2">
      <c r="A2" s="12" t="s">
        <v>428</v>
      </c>
      <c r="B2" s="12">
        <v>0.01</v>
      </c>
    </row>
    <row r="3">
      <c r="A3" s="12" t="s">
        <v>429</v>
      </c>
      <c r="B3" s="12">
        <v>0.01</v>
      </c>
    </row>
    <row r="4">
      <c r="A4" s="12" t="s">
        <v>430</v>
      </c>
      <c r="B4" s="12">
        <v>0.01</v>
      </c>
    </row>
    <row r="5">
      <c r="A5" s="12" t="s">
        <v>431</v>
      </c>
      <c r="B5" s="12">
        <v>0.01</v>
      </c>
    </row>
    <row r="6">
      <c r="A6" s="12" t="s">
        <v>432</v>
      </c>
      <c r="B6" s="12">
        <v>0.01</v>
      </c>
    </row>
    <row r="7">
      <c r="A7" s="12" t="s">
        <v>433</v>
      </c>
      <c r="B7" s="12">
        <v>0.01</v>
      </c>
    </row>
    <row r="8">
      <c r="A8" s="12" t="s">
        <v>434</v>
      </c>
      <c r="B8" s="12">
        <v>0.01</v>
      </c>
    </row>
    <row r="9">
      <c r="A9" s="12" t="s">
        <v>435</v>
      </c>
      <c r="B9" s="13">
        <v>45712.0</v>
      </c>
    </row>
    <row r="10">
      <c r="A10" s="12" t="s">
        <v>436</v>
      </c>
      <c r="B10" s="14" t="str">
        <f>B2  + B3* 𝑡 +B4 * 𝑡^2 +B5 * 𝑒
^(B6* 𝑡) +B7 * ln(𝑡 − B8)</f>
        <v>#ERROR!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38.0"/>
    <col customWidth="1" min="4" max="4" width="76.14"/>
    <col customWidth="1" min="5" max="26" width="8.86"/>
  </cols>
  <sheetData>
    <row r="1">
      <c r="A1" s="15" t="s">
        <v>437</v>
      </c>
      <c r="B1" s="15"/>
      <c r="C1" s="15"/>
      <c r="D1" s="15"/>
    </row>
    <row r="2">
      <c r="A2" s="16" t="s">
        <v>438</v>
      </c>
    </row>
    <row r="3">
      <c r="A3" s="16"/>
    </row>
    <row r="4">
      <c r="A4" s="16" t="s">
        <v>439</v>
      </c>
    </row>
    <row r="5">
      <c r="A5" s="16" t="s">
        <v>440</v>
      </c>
    </row>
    <row r="6">
      <c r="A6" s="16"/>
    </row>
    <row r="7">
      <c r="A7" s="16"/>
    </row>
    <row r="8">
      <c r="A8" s="16" t="s">
        <v>441</v>
      </c>
    </row>
    <row r="9">
      <c r="A9" s="16"/>
    </row>
    <row r="10">
      <c r="A10" s="17" t="s">
        <v>442</v>
      </c>
      <c r="B10" s="18"/>
      <c r="C10" s="18"/>
      <c r="D10" s="19"/>
    </row>
    <row r="11">
      <c r="A11" s="20" t="s">
        <v>443</v>
      </c>
      <c r="B11" s="18"/>
      <c r="C11" s="18"/>
      <c r="D11" s="19"/>
    </row>
    <row r="12">
      <c r="A12" s="20" t="s">
        <v>444</v>
      </c>
      <c r="B12" s="18"/>
      <c r="C12" s="18"/>
      <c r="D12" s="19"/>
    </row>
    <row r="13">
      <c r="A13" s="20" t="s">
        <v>445</v>
      </c>
      <c r="B13" s="18"/>
      <c r="C13" s="18"/>
      <c r="D13" s="19"/>
    </row>
    <row r="14">
      <c r="A14" s="21" t="s">
        <v>446</v>
      </c>
      <c r="B14" s="21" t="s">
        <v>447</v>
      </c>
      <c r="C14" s="21" t="s">
        <v>448</v>
      </c>
      <c r="D14" s="21" t="s">
        <v>449</v>
      </c>
    </row>
    <row r="15">
      <c r="A15" s="21" t="s">
        <v>446</v>
      </c>
      <c r="B15" s="21" t="s">
        <v>0</v>
      </c>
      <c r="C15" s="21" t="s">
        <v>448</v>
      </c>
      <c r="D15" s="21" t="s">
        <v>450</v>
      </c>
    </row>
    <row r="16">
      <c r="A16" s="21" t="s">
        <v>446</v>
      </c>
      <c r="B16" s="21" t="s">
        <v>451</v>
      </c>
      <c r="C16" s="21" t="s">
        <v>448</v>
      </c>
      <c r="D16" s="21" t="s">
        <v>452</v>
      </c>
    </row>
    <row r="19">
      <c r="C19" s="22">
        <v>45712.0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9:D9"/>
    <mergeCell ref="A10:D10"/>
    <mergeCell ref="A11:D11"/>
    <mergeCell ref="A12:D12"/>
    <mergeCell ref="A13:D13"/>
    <mergeCell ref="A2:D2"/>
    <mergeCell ref="A3:D3"/>
    <mergeCell ref="A4:D4"/>
    <mergeCell ref="A5:D5"/>
    <mergeCell ref="A6:D6"/>
    <mergeCell ref="A7:D7"/>
    <mergeCell ref="A8:D8"/>
  </mergeCells>
  <printOptions/>
  <pageMargins bottom="0.75" footer="0.0" header="0.0" left="0.7" right="0.7" top="0.75"/>
  <pageSetup orientation="landscape"/>
  <drawing r:id="rId1"/>
</worksheet>
</file>