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ivani/Downloads/"/>
    </mc:Choice>
  </mc:AlternateContent>
  <xr:revisionPtr revIDLastSave="0" documentId="13_ncr:1_{0B1BABF6-AABC-A246-B021-B9F521010AF6}" xr6:coauthVersionLast="47" xr6:coauthVersionMax="47" xr10:uidLastSave="{00000000-0000-0000-0000-000000000000}"/>
  <bookViews>
    <workbookView xWindow="0" yWindow="500" windowWidth="28800" windowHeight="15920" activeTab="1" xr2:uid="{0C108C6E-D447-43CC-98FD-3D8975F2C3F2}"/>
  </bookViews>
  <sheets>
    <sheet name="Assumptions" sheetId="1" r:id="rId1"/>
    <sheet name="Numerical integration" sheetId="2" r:id="rId2"/>
  </sheets>
  <definedNames>
    <definedName name="a0">Assumptions!$E$8</definedName>
    <definedName name="alpha">Assumptions!$E$9</definedName>
    <definedName name="alphat">Assumptions!$F$39</definedName>
    <definedName name="B">Assumptions!$F$38</definedName>
    <definedName name="callD">Assumptions!$F$50</definedName>
    <definedName name="callF">Assumptions!$C$50</definedName>
    <definedName name="callfw">#REF!</definedName>
    <definedName name="DD">Assumptions!$F$12</definedName>
    <definedName name="dis">Assumptions!$E$14</definedName>
    <definedName name="disc">Assumptions!$E$22</definedName>
    <definedName name="F">Assumptions!$E$11</definedName>
    <definedName name="fcalld">Assumptions!$F$75</definedName>
    <definedName name="fcallf">Assumptions!$C$75</definedName>
    <definedName name="fw">#REF!</definedName>
    <definedName name="RR">Assumptions!$E$12</definedName>
    <definedName name="sigma">Assumptions!$E$13</definedName>
    <definedName name="solver_adj" localSheetId="1" hidden="1">'Numerical integration'!$O$7,'Numerical integration'!$M$7,'Numerical integration'!$M$9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itr" localSheetId="1" hidden="1">2147483647</definedName>
    <definedName name="solver_lhs1" localSheetId="1" hidden="1">'Numerical integration'!$E$4</definedName>
    <definedName name="solver_lhs2" localSheetId="1" hidden="1">'Numerical integration'!$M$7</definedName>
    <definedName name="solver_lhs3" localSheetId="1" hidden="1">'Numerical integration'!$M$7</definedName>
    <definedName name="solver_lhs4" localSheetId="1" hidden="1">'Numerical integration'!$M$9</definedName>
    <definedName name="solver_lhs5" localSheetId="1" hidden="1">'Numerical integration'!$M$9</definedName>
    <definedName name="solver_lhs6" localSheetId="1" hidden="1">'Numerical integration'!$O$7</definedName>
    <definedName name="solver_lhs7" localSheetId="1" hidden="1">'Numerical integration'!$O$7</definedName>
    <definedName name="solver_lin" localSheetId="1" hidden="1">2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7</definedName>
    <definedName name="solver_opt" localSheetId="1" hidden="1">'Numerical integration'!$K$7</definedName>
    <definedName name="solver_pre" localSheetId="1" hidden="1">0.000001</definedName>
    <definedName name="solver_rbv" localSheetId="1" hidden="1">1</definedName>
    <definedName name="solver_rel1" localSheetId="1" hidden="1">2</definedName>
    <definedName name="solver_rel2" localSheetId="1" hidden="1">1</definedName>
    <definedName name="solver_rel3" localSheetId="1" hidden="1">3</definedName>
    <definedName name="solver_rel4" localSheetId="1" hidden="1">1</definedName>
    <definedName name="solver_rel5" localSheetId="1" hidden="1">3</definedName>
    <definedName name="solver_rel6" localSheetId="1" hidden="1">1</definedName>
    <definedName name="solver_rel7" localSheetId="1" hidden="1">3</definedName>
    <definedName name="solver_rhs1" localSheetId="1" hidden="1">-10</definedName>
    <definedName name="solver_rhs2" localSheetId="1" hidden="1">80</definedName>
    <definedName name="solver_rhs3" localSheetId="1" hidden="1">50</definedName>
    <definedName name="solver_rhs4" localSheetId="1" hidden="1">1</definedName>
    <definedName name="solver_rhs5" localSheetId="1" hidden="1">0</definedName>
    <definedName name="solver_rhs6" localSheetId="1" hidden="1">100</definedName>
    <definedName name="solver_rhs7" localSheetId="1" hidden="1">80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2</definedName>
    <definedName name="T">Assumptions!$E$10</definedName>
    <definedName name="tax">Assumptions!$E$15</definedName>
    <definedName name="w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2" l="1"/>
  <c r="E14" i="2"/>
  <c r="E16" i="2"/>
  <c r="F16" i="2" s="1"/>
  <c r="E15" i="2"/>
  <c r="E17" i="2"/>
  <c r="F17" i="2" s="1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F31" i="2" s="1"/>
  <c r="E32" i="2"/>
  <c r="E33" i="2"/>
  <c r="E34" i="2"/>
  <c r="E35" i="2"/>
  <c r="E36" i="2"/>
  <c r="E37" i="2"/>
  <c r="F37" i="2" s="1"/>
  <c r="E38" i="2"/>
  <c r="E39" i="2"/>
  <c r="E40" i="2"/>
  <c r="E41" i="2"/>
  <c r="E42" i="2"/>
  <c r="E43" i="2"/>
  <c r="F43" i="2" s="1"/>
  <c r="E44" i="2"/>
  <c r="E45" i="2"/>
  <c r="E46" i="2"/>
  <c r="E47" i="2"/>
  <c r="E48" i="2"/>
  <c r="E49" i="2"/>
  <c r="F49" i="2" s="1"/>
  <c r="E50" i="2"/>
  <c r="E51" i="2"/>
  <c r="E52" i="2"/>
  <c r="E53" i="2"/>
  <c r="E54" i="2"/>
  <c r="E55" i="2"/>
  <c r="F55" i="2" s="1"/>
  <c r="E56" i="2"/>
  <c r="E57" i="2"/>
  <c r="E58" i="2"/>
  <c r="E59" i="2"/>
  <c r="E60" i="2"/>
  <c r="E61" i="2"/>
  <c r="F61" i="2" s="1"/>
  <c r="E62" i="2"/>
  <c r="E63" i="2"/>
  <c r="E64" i="2"/>
  <c r="E65" i="2"/>
  <c r="E66" i="2"/>
  <c r="E67" i="2"/>
  <c r="F67" i="2" s="1"/>
  <c r="E68" i="2"/>
  <c r="E69" i="2"/>
  <c r="E70" i="2"/>
  <c r="E71" i="2"/>
  <c r="E72" i="2"/>
  <c r="E73" i="2"/>
  <c r="F73" i="2" s="1"/>
  <c r="E74" i="2"/>
  <c r="E75" i="2"/>
  <c r="E76" i="2"/>
  <c r="E77" i="2"/>
  <c r="E78" i="2"/>
  <c r="E79" i="2"/>
  <c r="F79" i="2" s="1"/>
  <c r="E80" i="2"/>
  <c r="E81" i="2"/>
  <c r="E82" i="2"/>
  <c r="E83" i="2"/>
  <c r="E84" i="2"/>
  <c r="E85" i="2"/>
  <c r="F85" i="2" s="1"/>
  <c r="E86" i="2"/>
  <c r="E87" i="2"/>
  <c r="E88" i="2"/>
  <c r="E89" i="2"/>
  <c r="E90" i="2"/>
  <c r="E91" i="2"/>
  <c r="F91" i="2" s="1"/>
  <c r="E92" i="2"/>
  <c r="E93" i="2"/>
  <c r="E94" i="2"/>
  <c r="E95" i="2"/>
  <c r="E96" i="2"/>
  <c r="E97" i="2"/>
  <c r="F97" i="2" s="1"/>
  <c r="E98" i="2"/>
  <c r="E99" i="2"/>
  <c r="E100" i="2"/>
  <c r="E101" i="2"/>
  <c r="E102" i="2"/>
  <c r="E103" i="2"/>
  <c r="F103" i="2" s="1"/>
  <c r="E104" i="2"/>
  <c r="E105" i="2"/>
  <c r="E106" i="2"/>
  <c r="E107" i="2"/>
  <c r="E108" i="2"/>
  <c r="E109" i="2"/>
  <c r="F109" i="2" s="1"/>
  <c r="E110" i="2"/>
  <c r="E111" i="2"/>
  <c r="E112" i="2"/>
  <c r="E113" i="2"/>
  <c r="E114" i="2"/>
  <c r="E115" i="2"/>
  <c r="E116" i="2"/>
  <c r="E117" i="2"/>
  <c r="E118" i="2"/>
  <c r="E119" i="2"/>
  <c r="E120" i="2"/>
  <c r="E121" i="2"/>
  <c r="F121" i="2" s="1"/>
  <c r="E122" i="2"/>
  <c r="E123" i="2"/>
  <c r="E124" i="2"/>
  <c r="E125" i="2"/>
  <c r="E126" i="2"/>
  <c r="E127" i="2"/>
  <c r="F127" i="2" s="1"/>
  <c r="E128" i="2"/>
  <c r="E129" i="2"/>
  <c r="E130" i="2"/>
  <c r="E131" i="2"/>
  <c r="E132" i="2"/>
  <c r="E133" i="2"/>
  <c r="F133" i="2" s="1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F157" i="2" s="1"/>
  <c r="E158" i="2"/>
  <c r="E159" i="2"/>
  <c r="E160" i="2"/>
  <c r="E161" i="2"/>
  <c r="E162" i="2"/>
  <c r="E163" i="2"/>
  <c r="F163" i="2" s="1"/>
  <c r="E164" i="2"/>
  <c r="F164" i="2" s="1"/>
  <c r="E165" i="2"/>
  <c r="E166" i="2"/>
  <c r="E167" i="2"/>
  <c r="E168" i="2"/>
  <c r="E169" i="2"/>
  <c r="F169" i="2" s="1"/>
  <c r="E170" i="2"/>
  <c r="F170" i="2" s="1"/>
  <c r="E171" i="2"/>
  <c r="E172" i="2"/>
  <c r="E173" i="2"/>
  <c r="E174" i="2"/>
  <c r="E175" i="2"/>
  <c r="F175" i="2" s="1"/>
  <c r="E176" i="2"/>
  <c r="F176" i="2" s="1"/>
  <c r="E177" i="2"/>
  <c r="E178" i="2"/>
  <c r="E179" i="2"/>
  <c r="E180" i="2"/>
  <c r="E181" i="2"/>
  <c r="F181" i="2" s="1"/>
  <c r="E182" i="2"/>
  <c r="F182" i="2" s="1"/>
  <c r="E183" i="2"/>
  <c r="E184" i="2"/>
  <c r="E185" i="2"/>
  <c r="E186" i="2"/>
  <c r="E187" i="2"/>
  <c r="F187" i="2" s="1"/>
  <c r="E188" i="2"/>
  <c r="F188" i="2" s="1"/>
  <c r="E189" i="2"/>
  <c r="E190" i="2"/>
  <c r="E191" i="2"/>
  <c r="E192" i="2"/>
  <c r="E193" i="2"/>
  <c r="F193" i="2" s="1"/>
  <c r="E194" i="2"/>
  <c r="F194" i="2" s="1"/>
  <c r="E195" i="2"/>
  <c r="E196" i="2"/>
  <c r="E197" i="2"/>
  <c r="E198" i="2"/>
  <c r="F13" i="2"/>
  <c r="G13" i="2" s="1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F240" i="2" s="1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F273" i="2" s="1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F242" i="2"/>
  <c r="F18" i="2"/>
  <c r="F25" i="2"/>
  <c r="F115" i="2"/>
  <c r="F139" i="2"/>
  <c r="F145" i="2"/>
  <c r="F151" i="2"/>
  <c r="F199" i="2"/>
  <c r="F200" i="2"/>
  <c r="F205" i="2"/>
  <c r="F206" i="2"/>
  <c r="F211" i="2"/>
  <c r="F212" i="2"/>
  <c r="F217" i="2"/>
  <c r="F218" i="2"/>
  <c r="F219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1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E22" i="1"/>
  <c r="D13" i="2"/>
  <c r="F12" i="1"/>
  <c r="D1012" i="2"/>
  <c r="D1011" i="2"/>
  <c r="D1010" i="2"/>
  <c r="D1009" i="2"/>
  <c r="D1008" i="2"/>
  <c r="D1007" i="2"/>
  <c r="D1006" i="2"/>
  <c r="D1005" i="2"/>
  <c r="D1004" i="2"/>
  <c r="D1003" i="2"/>
  <c r="D1002" i="2"/>
  <c r="D1001" i="2"/>
  <c r="D1000" i="2"/>
  <c r="D999" i="2"/>
  <c r="D998" i="2"/>
  <c r="D997" i="2"/>
  <c r="D996" i="2"/>
  <c r="D995" i="2"/>
  <c r="D994" i="2"/>
  <c r="D993" i="2"/>
  <c r="D992" i="2"/>
  <c r="D991" i="2"/>
  <c r="D990" i="2"/>
  <c r="D989" i="2"/>
  <c r="D988" i="2"/>
  <c r="D987" i="2"/>
  <c r="D986" i="2"/>
  <c r="D985" i="2"/>
  <c r="D984" i="2"/>
  <c r="D983" i="2"/>
  <c r="D982" i="2"/>
  <c r="D981" i="2"/>
  <c r="D980" i="2"/>
  <c r="D979" i="2"/>
  <c r="D978" i="2"/>
  <c r="D977" i="2"/>
  <c r="D976" i="2"/>
  <c r="D975" i="2"/>
  <c r="D974" i="2"/>
  <c r="D973" i="2"/>
  <c r="D972" i="2"/>
  <c r="D971" i="2"/>
  <c r="D970" i="2"/>
  <c r="D969" i="2"/>
  <c r="D968" i="2"/>
  <c r="D967" i="2"/>
  <c r="D966" i="2"/>
  <c r="D965" i="2"/>
  <c r="D964" i="2"/>
  <c r="D963" i="2"/>
  <c r="D962" i="2"/>
  <c r="D961" i="2"/>
  <c r="D960" i="2"/>
  <c r="D959" i="2"/>
  <c r="D958" i="2"/>
  <c r="D957" i="2"/>
  <c r="D956" i="2"/>
  <c r="D955" i="2"/>
  <c r="D954" i="2"/>
  <c r="D953" i="2"/>
  <c r="D952" i="2"/>
  <c r="D951" i="2"/>
  <c r="D950" i="2"/>
  <c r="D949" i="2"/>
  <c r="D948" i="2"/>
  <c r="D947" i="2"/>
  <c r="D946" i="2"/>
  <c r="D945" i="2"/>
  <c r="D944" i="2"/>
  <c r="D943" i="2"/>
  <c r="D942" i="2"/>
  <c r="D941" i="2"/>
  <c r="D940" i="2"/>
  <c r="D939" i="2"/>
  <c r="D938" i="2"/>
  <c r="D937" i="2"/>
  <c r="D936" i="2"/>
  <c r="D935" i="2"/>
  <c r="D934" i="2"/>
  <c r="D933" i="2"/>
  <c r="D932" i="2"/>
  <c r="D931" i="2"/>
  <c r="D930" i="2"/>
  <c r="D929" i="2"/>
  <c r="D928" i="2"/>
  <c r="D927" i="2"/>
  <c r="D926" i="2"/>
  <c r="D925" i="2"/>
  <c r="D924" i="2"/>
  <c r="D923" i="2"/>
  <c r="D922" i="2"/>
  <c r="D921" i="2"/>
  <c r="D920" i="2"/>
  <c r="D919" i="2"/>
  <c r="D918" i="2"/>
  <c r="D917" i="2"/>
  <c r="D916" i="2"/>
  <c r="D915" i="2"/>
  <c r="D914" i="2"/>
  <c r="D913" i="2"/>
  <c r="D912" i="2"/>
  <c r="D911" i="2"/>
  <c r="D910" i="2"/>
  <c r="D909" i="2"/>
  <c r="D908" i="2"/>
  <c r="D907" i="2"/>
  <c r="D906" i="2"/>
  <c r="D905" i="2"/>
  <c r="D904" i="2"/>
  <c r="D903" i="2"/>
  <c r="D902" i="2"/>
  <c r="D901" i="2"/>
  <c r="D900" i="2"/>
  <c r="D899" i="2"/>
  <c r="D898" i="2"/>
  <c r="D897" i="2"/>
  <c r="D896" i="2"/>
  <c r="D895" i="2"/>
  <c r="D894" i="2"/>
  <c r="D893" i="2"/>
  <c r="D892" i="2"/>
  <c r="D891" i="2"/>
  <c r="D890" i="2"/>
  <c r="D889" i="2"/>
  <c r="D888" i="2"/>
  <c r="D887" i="2"/>
  <c r="D886" i="2"/>
  <c r="D885" i="2"/>
  <c r="D884" i="2"/>
  <c r="D883" i="2"/>
  <c r="D882" i="2"/>
  <c r="D881" i="2"/>
  <c r="D880" i="2"/>
  <c r="D879" i="2"/>
  <c r="D878" i="2"/>
  <c r="D877" i="2"/>
  <c r="D876" i="2"/>
  <c r="D875" i="2"/>
  <c r="D874" i="2"/>
  <c r="D873" i="2"/>
  <c r="D872" i="2"/>
  <c r="D871" i="2"/>
  <c r="D870" i="2"/>
  <c r="D869" i="2"/>
  <c r="D868" i="2"/>
  <c r="D867" i="2"/>
  <c r="D866" i="2"/>
  <c r="D865" i="2"/>
  <c r="D864" i="2"/>
  <c r="D863" i="2"/>
  <c r="D862" i="2"/>
  <c r="D861" i="2"/>
  <c r="D860" i="2"/>
  <c r="D859" i="2"/>
  <c r="D858" i="2"/>
  <c r="D857" i="2"/>
  <c r="D856" i="2"/>
  <c r="D855" i="2"/>
  <c r="D854" i="2"/>
  <c r="D853" i="2"/>
  <c r="D852" i="2"/>
  <c r="D851" i="2"/>
  <c r="D850" i="2"/>
  <c r="D849" i="2"/>
  <c r="D848" i="2"/>
  <c r="D847" i="2"/>
  <c r="D846" i="2"/>
  <c r="D845" i="2"/>
  <c r="D844" i="2"/>
  <c r="D843" i="2"/>
  <c r="D842" i="2"/>
  <c r="D841" i="2"/>
  <c r="D840" i="2"/>
  <c r="D839" i="2"/>
  <c r="D838" i="2"/>
  <c r="D837" i="2"/>
  <c r="D836" i="2"/>
  <c r="D835" i="2"/>
  <c r="D834" i="2"/>
  <c r="D833" i="2"/>
  <c r="D832" i="2"/>
  <c r="D831" i="2"/>
  <c r="D830" i="2"/>
  <c r="D829" i="2"/>
  <c r="D828" i="2"/>
  <c r="D827" i="2"/>
  <c r="D826" i="2"/>
  <c r="D825" i="2"/>
  <c r="D824" i="2"/>
  <c r="D823" i="2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60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3" i="2"/>
  <c r="D742" i="2"/>
  <c r="D741" i="2"/>
  <c r="D740" i="2"/>
  <c r="D739" i="2"/>
  <c r="D738" i="2"/>
  <c r="D737" i="2"/>
  <c r="D736" i="2"/>
  <c r="D735" i="2"/>
  <c r="D734" i="2"/>
  <c r="D733" i="2"/>
  <c r="D732" i="2"/>
  <c r="D731" i="2"/>
  <c r="D730" i="2"/>
  <c r="D729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F15" i="2" l="1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G406" i="2" s="1"/>
  <c r="H406" i="2" s="1"/>
  <c r="J406" i="2" s="1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H13" i="2"/>
  <c r="F20" i="2"/>
  <c r="F21" i="2"/>
  <c r="F42" i="2"/>
  <c r="F36" i="2"/>
  <c r="F34" i="2"/>
  <c r="F30" i="2"/>
  <c r="F28" i="2"/>
  <c r="F24" i="2"/>
  <c r="F447" i="2"/>
  <c r="F446" i="2"/>
  <c r="G446" i="2" s="1"/>
  <c r="H446" i="2" s="1"/>
  <c r="F444" i="2"/>
  <c r="G444" i="2" s="1"/>
  <c r="H444" i="2" s="1"/>
  <c r="F443" i="2"/>
  <c r="G443" i="2" s="1"/>
  <c r="H443" i="2" s="1"/>
  <c r="F442" i="2"/>
  <c r="G442" i="2" s="1"/>
  <c r="H442" i="2" s="1"/>
  <c r="F441" i="2"/>
  <c r="F41" i="2"/>
  <c r="F40" i="2"/>
  <c r="F38" i="2"/>
  <c r="F35" i="2"/>
  <c r="F33" i="2"/>
  <c r="F29" i="2"/>
  <c r="F27" i="2"/>
  <c r="F23" i="2"/>
  <c r="F39" i="2"/>
  <c r="F32" i="2"/>
  <c r="F26" i="2"/>
  <c r="F22" i="2"/>
  <c r="F615" i="2"/>
  <c r="G615" i="2" s="1"/>
  <c r="H615" i="2" s="1"/>
  <c r="F611" i="2"/>
  <c r="G611" i="2" s="1"/>
  <c r="H611" i="2" s="1"/>
  <c r="F610" i="2"/>
  <c r="G610" i="2" s="1"/>
  <c r="H610" i="2" s="1"/>
  <c r="F609" i="2"/>
  <c r="G609" i="2" s="1"/>
  <c r="H609" i="2" s="1"/>
  <c r="F606" i="2"/>
  <c r="F605" i="2"/>
  <c r="F604" i="2"/>
  <c r="F603" i="2"/>
  <c r="G603" i="2" s="1"/>
  <c r="H603" i="2" s="1"/>
  <c r="F600" i="2"/>
  <c r="F597" i="2"/>
  <c r="G597" i="2" s="1"/>
  <c r="H597" i="2" s="1"/>
  <c r="F594" i="2"/>
  <c r="G594" i="2" s="1"/>
  <c r="H594" i="2" s="1"/>
  <c r="F593" i="2"/>
  <c r="F592" i="2"/>
  <c r="F591" i="2"/>
  <c r="G591" i="2" s="1"/>
  <c r="H591" i="2" s="1"/>
  <c r="F588" i="2"/>
  <c r="G588" i="2" s="1"/>
  <c r="H588" i="2" s="1"/>
  <c r="F587" i="2"/>
  <c r="G587" i="2" s="1"/>
  <c r="H587" i="2" s="1"/>
  <c r="F586" i="2"/>
  <c r="F585" i="2"/>
  <c r="G585" i="2" s="1"/>
  <c r="H585" i="2" s="1"/>
  <c r="F582" i="2"/>
  <c r="G582" i="2" s="1"/>
  <c r="H582" i="2" s="1"/>
  <c r="F579" i="2"/>
  <c r="G579" i="2" s="1"/>
  <c r="H579" i="2" s="1"/>
  <c r="F576" i="2"/>
  <c r="F575" i="2"/>
  <c r="G575" i="2" s="1"/>
  <c r="H575" i="2" s="1"/>
  <c r="F574" i="2"/>
  <c r="F573" i="2"/>
  <c r="G573" i="2" s="1"/>
  <c r="H573" i="2" s="1"/>
  <c r="F570" i="2"/>
  <c r="F569" i="2"/>
  <c r="G569" i="2" s="1"/>
  <c r="H569" i="2" s="1"/>
  <c r="F568" i="2"/>
  <c r="F567" i="2"/>
  <c r="F564" i="2"/>
  <c r="G564" i="2" s="1"/>
  <c r="H564" i="2" s="1"/>
  <c r="F561" i="2"/>
  <c r="G561" i="2" s="1"/>
  <c r="H561" i="2" s="1"/>
  <c r="F558" i="2"/>
  <c r="F557" i="2"/>
  <c r="G557" i="2" s="1"/>
  <c r="H557" i="2" s="1"/>
  <c r="F556" i="2"/>
  <c r="G556" i="2" s="1"/>
  <c r="H556" i="2" s="1"/>
  <c r="F555" i="2"/>
  <c r="G555" i="2" s="1"/>
  <c r="H555" i="2" s="1"/>
  <c r="F552" i="2"/>
  <c r="G552" i="2" s="1"/>
  <c r="H552" i="2" s="1"/>
  <c r="F551" i="2"/>
  <c r="G551" i="2" s="1"/>
  <c r="H551" i="2" s="1"/>
  <c r="F550" i="2"/>
  <c r="G550" i="2" s="1"/>
  <c r="H550" i="2" s="1"/>
  <c r="F549" i="2"/>
  <c r="G549" i="2" s="1"/>
  <c r="H549" i="2" s="1"/>
  <c r="F548" i="2"/>
  <c r="F546" i="2"/>
  <c r="F544" i="2"/>
  <c r="F543" i="2"/>
  <c r="G543" i="2" s="1"/>
  <c r="H543" i="2" s="1"/>
  <c r="F542" i="2"/>
  <c r="F540" i="2"/>
  <c r="F539" i="2"/>
  <c r="G539" i="2" s="1"/>
  <c r="H539" i="2" s="1"/>
  <c r="F537" i="2"/>
  <c r="G537" i="2" s="1"/>
  <c r="H537" i="2" s="1"/>
  <c r="F536" i="2"/>
  <c r="G536" i="2" s="1"/>
  <c r="H536" i="2" s="1"/>
  <c r="F534" i="2"/>
  <c r="G534" i="2" s="1"/>
  <c r="H534" i="2" s="1"/>
  <c r="F533" i="2"/>
  <c r="G533" i="2" s="1"/>
  <c r="H533" i="2" s="1"/>
  <c r="F532" i="2"/>
  <c r="G532" i="2" s="1"/>
  <c r="H532" i="2" s="1"/>
  <c r="F530" i="2"/>
  <c r="F528" i="2"/>
  <c r="G528" i="2" s="1"/>
  <c r="H528" i="2" s="1"/>
  <c r="F526" i="2"/>
  <c r="F524" i="2"/>
  <c r="G524" i="2" s="1"/>
  <c r="H524" i="2" s="1"/>
  <c r="F522" i="2"/>
  <c r="F521" i="2"/>
  <c r="F520" i="2"/>
  <c r="F518" i="2"/>
  <c r="G518" i="2" s="1"/>
  <c r="H518" i="2" s="1"/>
  <c r="F516" i="2"/>
  <c r="G516" i="2" s="1"/>
  <c r="H516" i="2" s="1"/>
  <c r="F514" i="2"/>
  <c r="F513" i="2"/>
  <c r="G513" i="2" s="1"/>
  <c r="H513" i="2" s="1"/>
  <c r="F510" i="2"/>
  <c r="F509" i="2"/>
  <c r="G509" i="2" s="1"/>
  <c r="H509" i="2" s="1"/>
  <c r="I509" i="2" s="1"/>
  <c r="F508" i="2"/>
  <c r="G508" i="2" s="1"/>
  <c r="H508" i="2" s="1"/>
  <c r="F507" i="2"/>
  <c r="F504" i="2"/>
  <c r="G504" i="2" s="1"/>
  <c r="H504" i="2" s="1"/>
  <c r="F502" i="2"/>
  <c r="F500" i="2"/>
  <c r="G500" i="2" s="1"/>
  <c r="H500" i="2" s="1"/>
  <c r="F498" i="2"/>
  <c r="F497" i="2"/>
  <c r="F496" i="2"/>
  <c r="F494" i="2"/>
  <c r="G494" i="2" s="1"/>
  <c r="H494" i="2" s="1"/>
  <c r="F491" i="2"/>
  <c r="G491" i="2" s="1"/>
  <c r="H491" i="2" s="1"/>
  <c r="F489" i="2"/>
  <c r="F484" i="2"/>
  <c r="G484" i="2" s="1"/>
  <c r="H484" i="2" s="1"/>
  <c r="F480" i="2"/>
  <c r="F478" i="2"/>
  <c r="F476" i="2"/>
  <c r="G476" i="2" s="1"/>
  <c r="H476" i="2" s="1"/>
  <c r="F470" i="2"/>
  <c r="G470" i="2" s="1"/>
  <c r="H470" i="2" s="1"/>
  <c r="F467" i="2"/>
  <c r="G467" i="2" s="1"/>
  <c r="H467" i="2" s="1"/>
  <c r="F465" i="2"/>
  <c r="F462" i="2"/>
  <c r="G462" i="2" s="1"/>
  <c r="H462" i="2" s="1"/>
  <c r="F460" i="2"/>
  <c r="G460" i="2" s="1"/>
  <c r="H460" i="2" s="1"/>
  <c r="F455" i="2"/>
  <c r="F453" i="2"/>
  <c r="G453" i="2" s="1"/>
  <c r="H453" i="2" s="1"/>
  <c r="F452" i="2"/>
  <c r="F618" i="2"/>
  <c r="G618" i="2" s="1"/>
  <c r="H618" i="2" s="1"/>
  <c r="F191" i="2"/>
  <c r="F183" i="2"/>
  <c r="F178" i="2"/>
  <c r="F173" i="2"/>
  <c r="F168" i="2"/>
  <c r="F165" i="2"/>
  <c r="F159" i="2"/>
  <c r="F155" i="2"/>
  <c r="F144" i="2"/>
  <c r="F140" i="2"/>
  <c r="F136" i="2"/>
  <c r="F132" i="2"/>
  <c r="F130" i="2"/>
  <c r="F128" i="2"/>
  <c r="F125" i="2"/>
  <c r="F123" i="2"/>
  <c r="F120" i="2"/>
  <c r="F118" i="2"/>
  <c r="F116" i="2"/>
  <c r="F113" i="2"/>
  <c r="F111" i="2"/>
  <c r="F108" i="2"/>
  <c r="F106" i="2"/>
  <c r="F104" i="2"/>
  <c r="F101" i="2"/>
  <c r="F100" i="2"/>
  <c r="F99" i="2"/>
  <c r="F98" i="2"/>
  <c r="F96" i="2"/>
  <c r="F95" i="2"/>
  <c r="F94" i="2"/>
  <c r="F93" i="2"/>
  <c r="F92" i="2"/>
  <c r="F90" i="2"/>
  <c r="F89" i="2"/>
  <c r="F88" i="2"/>
  <c r="F87" i="2"/>
  <c r="F86" i="2"/>
  <c r="F84" i="2"/>
  <c r="F83" i="2"/>
  <c r="F82" i="2"/>
  <c r="F81" i="2"/>
  <c r="F80" i="2"/>
  <c r="F78" i="2"/>
  <c r="F77" i="2"/>
  <c r="G77" i="2" s="1"/>
  <c r="F76" i="2"/>
  <c r="F75" i="2"/>
  <c r="F74" i="2"/>
  <c r="F72" i="2"/>
  <c r="F71" i="2"/>
  <c r="F70" i="2"/>
  <c r="F69" i="2"/>
  <c r="F68" i="2"/>
  <c r="F66" i="2"/>
  <c r="F65" i="2"/>
  <c r="G65" i="2" s="1"/>
  <c r="F64" i="2"/>
  <c r="F63" i="2"/>
  <c r="F62" i="2"/>
  <c r="F60" i="2"/>
  <c r="F59" i="2"/>
  <c r="F58" i="2"/>
  <c r="F57" i="2"/>
  <c r="F56" i="2"/>
  <c r="F54" i="2"/>
  <c r="F53" i="2"/>
  <c r="F52" i="2"/>
  <c r="F51" i="2"/>
  <c r="F50" i="2"/>
  <c r="F48" i="2"/>
  <c r="F47" i="2"/>
  <c r="F46" i="2"/>
  <c r="F45" i="2"/>
  <c r="F44" i="2"/>
  <c r="F612" i="2"/>
  <c r="G612" i="2" s="1"/>
  <c r="H612" i="2" s="1"/>
  <c r="F472" i="2"/>
  <c r="F464" i="2"/>
  <c r="G464" i="2" s="1"/>
  <c r="H464" i="2" s="1"/>
  <c r="J464" i="2" s="1"/>
  <c r="F459" i="2"/>
  <c r="G459" i="2" s="1"/>
  <c r="H459" i="2" s="1"/>
  <c r="F454" i="2"/>
  <c r="G454" i="2" s="1"/>
  <c r="H454" i="2" s="1"/>
  <c r="F449" i="2"/>
  <c r="F214" i="2"/>
  <c r="F208" i="2"/>
  <c r="F203" i="2"/>
  <c r="F198" i="2"/>
  <c r="F195" i="2"/>
  <c r="F186" i="2"/>
  <c r="F179" i="2"/>
  <c r="F174" i="2"/>
  <c r="F171" i="2"/>
  <c r="F166" i="2"/>
  <c r="F161" i="2"/>
  <c r="F158" i="2"/>
  <c r="F154" i="2"/>
  <c r="F150" i="2"/>
  <c r="F147" i="2"/>
  <c r="F143" i="2"/>
  <c r="F138" i="2"/>
  <c r="F135" i="2"/>
  <c r="F538" i="2"/>
  <c r="G538" i="2" s="1"/>
  <c r="H538" i="2" s="1"/>
  <c r="F531" i="2"/>
  <c r="G531" i="2" s="1"/>
  <c r="H531" i="2" s="1"/>
  <c r="F527" i="2"/>
  <c r="G527" i="2" s="1"/>
  <c r="H527" i="2" s="1"/>
  <c r="I527" i="2" s="1"/>
  <c r="F525" i="2"/>
  <c r="G525" i="2" s="1"/>
  <c r="H525" i="2" s="1"/>
  <c r="F519" i="2"/>
  <c r="G519" i="2" s="1"/>
  <c r="H519" i="2" s="1"/>
  <c r="F515" i="2"/>
  <c r="G515" i="2" s="1"/>
  <c r="H515" i="2" s="1"/>
  <c r="F512" i="2"/>
  <c r="F506" i="2"/>
  <c r="G506" i="2" s="1"/>
  <c r="H506" i="2" s="1"/>
  <c r="F503" i="2"/>
  <c r="G503" i="2" s="1"/>
  <c r="H503" i="2" s="1"/>
  <c r="F501" i="2"/>
  <c r="G501" i="2" s="1"/>
  <c r="H501" i="2" s="1"/>
  <c r="F495" i="2"/>
  <c r="G495" i="2" s="1"/>
  <c r="H495" i="2" s="1"/>
  <c r="F492" i="2"/>
  <c r="F490" i="2"/>
  <c r="G490" i="2" s="1"/>
  <c r="H490" i="2" s="1"/>
  <c r="F488" i="2"/>
  <c r="G488" i="2" s="1"/>
  <c r="H488" i="2" s="1"/>
  <c r="F486" i="2"/>
  <c r="G486" i="2" s="1"/>
  <c r="H486" i="2" s="1"/>
  <c r="F485" i="2"/>
  <c r="G485" i="2" s="1"/>
  <c r="H485" i="2" s="1"/>
  <c r="F483" i="2"/>
  <c r="G483" i="2" s="1"/>
  <c r="H483" i="2" s="1"/>
  <c r="F482" i="2"/>
  <c r="F479" i="2"/>
  <c r="G479" i="2" s="1"/>
  <c r="H479" i="2" s="1"/>
  <c r="F477" i="2"/>
  <c r="G477" i="2" s="1"/>
  <c r="H477" i="2" s="1"/>
  <c r="F474" i="2"/>
  <c r="G474" i="2" s="1"/>
  <c r="H474" i="2" s="1"/>
  <c r="F473" i="2"/>
  <c r="F471" i="2"/>
  <c r="F468" i="2"/>
  <c r="G468" i="2" s="1"/>
  <c r="H468" i="2" s="1"/>
  <c r="F466" i="2"/>
  <c r="F461" i="2"/>
  <c r="G461" i="2" s="1"/>
  <c r="H461" i="2" s="1"/>
  <c r="F458" i="2"/>
  <c r="F456" i="2"/>
  <c r="G456" i="2" s="1"/>
  <c r="H456" i="2" s="1"/>
  <c r="F450" i="2"/>
  <c r="G450" i="2" s="1"/>
  <c r="H450" i="2" s="1"/>
  <c r="F448" i="2"/>
  <c r="G448" i="2" s="1"/>
  <c r="H448" i="2" s="1"/>
  <c r="F220" i="2"/>
  <c r="F216" i="2"/>
  <c r="F215" i="2"/>
  <c r="F213" i="2"/>
  <c r="F210" i="2"/>
  <c r="F209" i="2"/>
  <c r="F207" i="2"/>
  <c r="F204" i="2"/>
  <c r="F202" i="2"/>
  <c r="F201" i="2"/>
  <c r="F197" i="2"/>
  <c r="F196" i="2"/>
  <c r="F192" i="2"/>
  <c r="F190" i="2"/>
  <c r="F189" i="2"/>
  <c r="F185" i="2"/>
  <c r="F184" i="2"/>
  <c r="F180" i="2"/>
  <c r="F177" i="2"/>
  <c r="F172" i="2"/>
  <c r="F167" i="2"/>
  <c r="F162" i="2"/>
  <c r="F160" i="2"/>
  <c r="F156" i="2"/>
  <c r="F153" i="2"/>
  <c r="F149" i="2"/>
  <c r="F148" i="2"/>
  <c r="F141" i="2"/>
  <c r="F131" i="2"/>
  <c r="F221" i="2"/>
  <c r="F222" i="2"/>
  <c r="F152" i="2"/>
  <c r="F146" i="2"/>
  <c r="F142" i="2"/>
  <c r="F137" i="2"/>
  <c r="F134" i="2"/>
  <c r="F129" i="2"/>
  <c r="F126" i="2"/>
  <c r="F124" i="2"/>
  <c r="F122" i="2"/>
  <c r="F119" i="2"/>
  <c r="F117" i="2"/>
  <c r="F114" i="2"/>
  <c r="F112" i="2"/>
  <c r="F110" i="2"/>
  <c r="F107" i="2"/>
  <c r="F105" i="2"/>
  <c r="F102" i="2"/>
  <c r="F665" i="2"/>
  <c r="G665" i="2" s="1"/>
  <c r="H665" i="2" s="1"/>
  <c r="F663" i="2"/>
  <c r="G663" i="2" s="1"/>
  <c r="H663" i="2" s="1"/>
  <c r="F658" i="2"/>
  <c r="G658" i="2" s="1"/>
  <c r="H658" i="2" s="1"/>
  <c r="F659" i="2"/>
  <c r="G659" i="2" s="1"/>
  <c r="H659" i="2" s="1"/>
  <c r="F660" i="2"/>
  <c r="G660" i="2" s="1"/>
  <c r="H660" i="2" s="1"/>
  <c r="F654" i="2"/>
  <c r="G654" i="2" s="1"/>
  <c r="H654" i="2" s="1"/>
  <c r="F651" i="2"/>
  <c r="F648" i="2"/>
  <c r="G648" i="2" s="1"/>
  <c r="H648" i="2" s="1"/>
  <c r="F647" i="2"/>
  <c r="G647" i="2" s="1"/>
  <c r="H647" i="2" s="1"/>
  <c r="F645" i="2"/>
  <c r="G645" i="2" s="1"/>
  <c r="H645" i="2" s="1"/>
  <c r="F642" i="2"/>
  <c r="F641" i="2"/>
  <c r="F640" i="2"/>
  <c r="G640" i="2" s="1"/>
  <c r="H640" i="2" s="1"/>
  <c r="J640" i="2" s="1"/>
  <c r="F639" i="2"/>
  <c r="G639" i="2" s="1"/>
  <c r="H639" i="2" s="1"/>
  <c r="F636" i="2"/>
  <c r="F633" i="2"/>
  <c r="F630" i="2"/>
  <c r="G630" i="2" s="1"/>
  <c r="H630" i="2" s="1"/>
  <c r="F629" i="2"/>
  <c r="F627" i="2"/>
  <c r="F624" i="2"/>
  <c r="G624" i="2" s="1"/>
  <c r="H624" i="2" s="1"/>
  <c r="F623" i="2"/>
  <c r="G623" i="2" s="1"/>
  <c r="H623" i="2" s="1"/>
  <c r="F622" i="2"/>
  <c r="G622" i="2" s="1"/>
  <c r="H622" i="2" s="1"/>
  <c r="F621" i="2"/>
  <c r="G621" i="2" s="1"/>
  <c r="H621" i="2" s="1"/>
  <c r="F657" i="2"/>
  <c r="F440" i="2"/>
  <c r="G440" i="2" s="1"/>
  <c r="H440" i="2" s="1"/>
  <c r="D4" i="2"/>
  <c r="D5" i="2"/>
  <c r="F14" i="2"/>
  <c r="F560" i="2"/>
  <c r="F439" i="2"/>
  <c r="F666" i="2"/>
  <c r="F669" i="2"/>
  <c r="F676" i="2"/>
  <c r="F677" i="2"/>
  <c r="F545" i="2"/>
  <c r="G545" i="2" s="1"/>
  <c r="H545" i="2" s="1"/>
  <c r="F628" i="2"/>
  <c r="F19" i="2"/>
  <c r="G281" i="2"/>
  <c r="H281" i="2" s="1"/>
  <c r="J281" i="2" s="1"/>
  <c r="G228" i="2"/>
  <c r="H228" i="2" s="1"/>
  <c r="G447" i="2" l="1"/>
  <c r="H447" i="2"/>
  <c r="G441" i="2"/>
  <c r="H441" i="2"/>
  <c r="G604" i="2"/>
  <c r="H604" i="2"/>
  <c r="I604" i="2" s="1"/>
  <c r="G592" i="2"/>
  <c r="H592" i="2"/>
  <c r="I592" i="2" s="1"/>
  <c r="G600" i="2"/>
  <c r="H600" i="2"/>
  <c r="G576" i="2"/>
  <c r="H576" i="2"/>
  <c r="G567" i="2"/>
  <c r="H567" i="2" s="1"/>
  <c r="G548" i="2"/>
  <c r="H548" i="2" s="1"/>
  <c r="G544" i="2"/>
  <c r="H544" i="2" s="1"/>
  <c r="G540" i="2"/>
  <c r="H540" i="2"/>
  <c r="G526" i="2"/>
  <c r="H526" i="2"/>
  <c r="G480" i="2"/>
  <c r="H480" i="2"/>
  <c r="G606" i="2"/>
  <c r="H606" i="2" s="1"/>
  <c r="G605" i="2"/>
  <c r="H605" i="2" s="1"/>
  <c r="G593" i="2"/>
  <c r="H593" i="2" s="1"/>
  <c r="I593" i="2" s="1"/>
  <c r="G586" i="2"/>
  <c r="H586" i="2" s="1"/>
  <c r="G574" i="2"/>
  <c r="H574" i="2" s="1"/>
  <c r="G570" i="2"/>
  <c r="H570" i="2" s="1"/>
  <c r="G568" i="2"/>
  <c r="H568" i="2"/>
  <c r="G558" i="2"/>
  <c r="H558" i="2" s="1"/>
  <c r="G546" i="2"/>
  <c r="H546" i="2" s="1"/>
  <c r="G542" i="2"/>
  <c r="H542" i="2" s="1"/>
  <c r="G530" i="2"/>
  <c r="H530" i="2"/>
  <c r="G522" i="2"/>
  <c r="H522" i="2" s="1"/>
  <c r="G521" i="2"/>
  <c r="H521" i="2" s="1"/>
  <c r="G520" i="2"/>
  <c r="H520" i="2" s="1"/>
  <c r="G514" i="2"/>
  <c r="H514" i="2" s="1"/>
  <c r="G510" i="2"/>
  <c r="H510" i="2" s="1"/>
  <c r="G507" i="2"/>
  <c r="H507" i="2" s="1"/>
  <c r="G502" i="2"/>
  <c r="H502" i="2" s="1"/>
  <c r="G497" i="2"/>
  <c r="H497" i="2" s="1"/>
  <c r="G496" i="2"/>
  <c r="H496" i="2"/>
  <c r="I496" i="2" s="1"/>
  <c r="G489" i="2"/>
  <c r="H489" i="2" s="1"/>
  <c r="G478" i="2"/>
  <c r="H478" i="2" s="1"/>
  <c r="G465" i="2"/>
  <c r="H465" i="2" s="1"/>
  <c r="G455" i="2"/>
  <c r="H455" i="2"/>
  <c r="G452" i="2"/>
  <c r="H452" i="2" s="1"/>
  <c r="G472" i="2"/>
  <c r="H472" i="2"/>
  <c r="G449" i="2"/>
  <c r="H449" i="2" s="1"/>
  <c r="G512" i="2"/>
  <c r="H512" i="2" s="1"/>
  <c r="G492" i="2"/>
  <c r="H492" i="2" s="1"/>
  <c r="G482" i="2"/>
  <c r="H482" i="2" s="1"/>
  <c r="G471" i="2"/>
  <c r="H471" i="2" s="1"/>
  <c r="G466" i="2"/>
  <c r="H466" i="2" s="1"/>
  <c r="G458" i="2"/>
  <c r="H458" i="2"/>
  <c r="G498" i="2"/>
  <c r="H498" i="2" s="1"/>
  <c r="I498" i="2" s="1"/>
  <c r="G473" i="2"/>
  <c r="H473" i="2" s="1"/>
  <c r="G651" i="2"/>
  <c r="H651" i="2" s="1"/>
  <c r="G642" i="2"/>
  <c r="H642" i="2" s="1"/>
  <c r="G641" i="2"/>
  <c r="H641" i="2" s="1"/>
  <c r="G636" i="2"/>
  <c r="H636" i="2"/>
  <c r="G633" i="2"/>
  <c r="H633" i="2" s="1"/>
  <c r="G629" i="2"/>
  <c r="H629" i="2" s="1"/>
  <c r="G627" i="2"/>
  <c r="H627" i="2" s="1"/>
  <c r="G657" i="2"/>
  <c r="H657" i="2" s="1"/>
  <c r="I597" i="2"/>
  <c r="G560" i="2"/>
  <c r="H560" i="2" s="1"/>
  <c r="G666" i="2"/>
  <c r="H666" i="2" s="1"/>
  <c r="G669" i="2"/>
  <c r="H669" i="2" s="1"/>
  <c r="G676" i="2"/>
  <c r="H676" i="2" s="1"/>
  <c r="G677" i="2"/>
  <c r="H677" i="2" s="1"/>
  <c r="G628" i="2"/>
  <c r="H628" i="2" s="1"/>
  <c r="F566" i="2"/>
  <c r="F445" i="2"/>
  <c r="F672" i="2"/>
  <c r="F675" i="2"/>
  <c r="F694" i="2"/>
  <c r="F683" i="2"/>
  <c r="F554" i="2"/>
  <c r="F562" i="2"/>
  <c r="J549" i="2"/>
  <c r="J536" i="2"/>
  <c r="J538" i="2"/>
  <c r="I579" i="2"/>
  <c r="J579" i="2"/>
  <c r="I459" i="2"/>
  <c r="J444" i="2"/>
  <c r="J591" i="2"/>
  <c r="J575" i="2"/>
  <c r="I665" i="2"/>
  <c r="J527" i="2"/>
  <c r="I485" i="2"/>
  <c r="J494" i="2"/>
  <c r="I591" i="2"/>
  <c r="I461" i="2"/>
  <c r="I440" i="2"/>
  <c r="J621" i="2"/>
  <c r="I448" i="2"/>
  <c r="J564" i="2"/>
  <c r="J516" i="2"/>
  <c r="I524" i="2"/>
  <c r="J639" i="2"/>
  <c r="J647" i="2"/>
  <c r="I479" i="2"/>
  <c r="I575" i="2"/>
  <c r="I490" i="2"/>
  <c r="I630" i="2"/>
  <c r="I536" i="2"/>
  <c r="J569" i="2"/>
  <c r="I551" i="2"/>
  <c r="J454" i="2"/>
  <c r="J552" i="2"/>
  <c r="J450" i="2"/>
  <c r="I647" i="2"/>
  <c r="I450" i="2"/>
  <c r="G236" i="2"/>
  <c r="G206" i="2"/>
  <c r="H206" i="2" s="1"/>
  <c r="J206" i="2" s="1"/>
  <c r="G321" i="2"/>
  <c r="H321" i="2" s="1"/>
  <c r="J321" i="2" s="1"/>
  <c r="G14" i="2"/>
  <c r="G219" i="2"/>
  <c r="H219" i="2" s="1"/>
  <c r="G322" i="2"/>
  <c r="H322" i="2" s="1"/>
  <c r="I322" i="2" s="1"/>
  <c r="G243" i="2"/>
  <c r="H243" i="2" s="1"/>
  <c r="J243" i="2" s="1"/>
  <c r="G376" i="2"/>
  <c r="H376" i="2" s="1"/>
  <c r="J376" i="2" s="1"/>
  <c r="G364" i="2"/>
  <c r="H364" i="2" s="1"/>
  <c r="J364" i="2" s="1"/>
  <c r="G180" i="2"/>
  <c r="H180" i="2" s="1"/>
  <c r="I180" i="2" s="1"/>
  <c r="G426" i="2"/>
  <c r="H426" i="2" s="1"/>
  <c r="I426" i="2" s="1"/>
  <c r="I444" i="2"/>
  <c r="G50" i="2"/>
  <c r="H50" i="2" s="1"/>
  <c r="I50" i="2" s="1"/>
  <c r="G387" i="2"/>
  <c r="H387" i="2" s="1"/>
  <c r="J387" i="2" s="1"/>
  <c r="G271" i="2"/>
  <c r="H271" i="2" s="1"/>
  <c r="J271" i="2" s="1"/>
  <c r="G220" i="2"/>
  <c r="H220" i="2" s="1"/>
  <c r="G315" i="2"/>
  <c r="H315" i="2" s="1"/>
  <c r="I315" i="2" s="1"/>
  <c r="G109" i="2"/>
  <c r="H109" i="2" s="1"/>
  <c r="J109" i="2" s="1"/>
  <c r="G103" i="2"/>
  <c r="H103" i="2" s="1"/>
  <c r="I103" i="2" s="1"/>
  <c r="G302" i="2"/>
  <c r="H302" i="2" s="1"/>
  <c r="G235" i="2"/>
  <c r="G230" i="2"/>
  <c r="I454" i="2"/>
  <c r="G137" i="2"/>
  <c r="H137" i="2" s="1"/>
  <c r="G52" i="2"/>
  <c r="H52" i="2" s="1"/>
  <c r="I52" i="2" s="1"/>
  <c r="G87" i="2"/>
  <c r="H87" i="2" s="1"/>
  <c r="I87" i="2" s="1"/>
  <c r="G214" i="2"/>
  <c r="H214" i="2" s="1"/>
  <c r="G223" i="2"/>
  <c r="H223" i="2" s="1"/>
  <c r="G106" i="2"/>
  <c r="G270" i="2"/>
  <c r="H270" i="2" s="1"/>
  <c r="J270" i="2" s="1"/>
  <c r="G433" i="2"/>
  <c r="H433" i="2" s="1"/>
  <c r="I433" i="2" s="1"/>
  <c r="G121" i="2"/>
  <c r="H121" i="2" s="1"/>
  <c r="G260" i="2"/>
  <c r="H260" i="2" s="1"/>
  <c r="I615" i="2"/>
  <c r="G147" i="2"/>
  <c r="H147" i="2" s="1"/>
  <c r="J147" i="2" s="1"/>
  <c r="G61" i="2"/>
  <c r="H61" i="2" s="1"/>
  <c r="J61" i="2" s="1"/>
  <c r="G429" i="2"/>
  <c r="H429" i="2" s="1"/>
  <c r="G59" i="2"/>
  <c r="H59" i="2" s="1"/>
  <c r="I59" i="2" s="1"/>
  <c r="G199" i="2"/>
  <c r="H199" i="2" s="1"/>
  <c r="I199" i="2" s="1"/>
  <c r="G217" i="2"/>
  <c r="H217" i="2" s="1"/>
  <c r="J217" i="2" s="1"/>
  <c r="G100" i="2"/>
  <c r="H100" i="2" s="1"/>
  <c r="I100" i="2" s="1"/>
  <c r="G261" i="2"/>
  <c r="H261" i="2" s="1"/>
  <c r="G190" i="2"/>
  <c r="H190" i="2" s="1"/>
  <c r="I190" i="2" s="1"/>
  <c r="G269" i="2"/>
  <c r="H269" i="2" s="1"/>
  <c r="G60" i="2"/>
  <c r="G148" i="2"/>
  <c r="H148" i="2" s="1"/>
  <c r="I148" i="2" s="1"/>
  <c r="G415" i="2"/>
  <c r="H415" i="2" s="1"/>
  <c r="J415" i="2" s="1"/>
  <c r="G175" i="2"/>
  <c r="H175" i="2" s="1"/>
  <c r="I175" i="2" s="1"/>
  <c r="G196" i="2"/>
  <c r="G88" i="2"/>
  <c r="H88" i="2" s="1"/>
  <c r="G69" i="2"/>
  <c r="H69" i="2" s="1"/>
  <c r="J69" i="2" s="1"/>
  <c r="G280" i="2"/>
  <c r="H280" i="2" s="1"/>
  <c r="I280" i="2" s="1"/>
  <c r="G416" i="2"/>
  <c r="H416" i="2" s="1"/>
  <c r="I416" i="2" s="1"/>
  <c r="G288" i="2"/>
  <c r="H288" i="2" s="1"/>
  <c r="I288" i="2" s="1"/>
  <c r="G309" i="2"/>
  <c r="G110" i="2"/>
  <c r="H110" i="2" s="1"/>
  <c r="I110" i="2" s="1"/>
  <c r="G291" i="2"/>
  <c r="H291" i="2" s="1"/>
  <c r="I291" i="2" s="1"/>
  <c r="G272" i="2"/>
  <c r="H272" i="2" s="1"/>
  <c r="J272" i="2" s="1"/>
  <c r="G263" i="2"/>
  <c r="H263" i="2" s="1"/>
  <c r="I443" i="2"/>
  <c r="G310" i="2"/>
  <c r="H310" i="2" s="1"/>
  <c r="G41" i="2"/>
  <c r="H41" i="2" s="1"/>
  <c r="I41" i="2" s="1"/>
  <c r="G95" i="2"/>
  <c r="H95" i="2" s="1"/>
  <c r="I95" i="2" s="1"/>
  <c r="G71" i="2"/>
  <c r="H71" i="2" s="1"/>
  <c r="G423" i="2"/>
  <c r="H423" i="2" s="1"/>
  <c r="I423" i="2" s="1"/>
  <c r="G210" i="2"/>
  <c r="H210" i="2" s="1"/>
  <c r="G94" i="2"/>
  <c r="H94" i="2" s="1"/>
  <c r="J94" i="2" s="1"/>
  <c r="I538" i="2"/>
  <c r="G290" i="2"/>
  <c r="H290" i="2" s="1"/>
  <c r="G157" i="2"/>
  <c r="H157" i="2" s="1"/>
  <c r="I157" i="2" s="1"/>
  <c r="G296" i="2"/>
  <c r="H296" i="2" s="1"/>
  <c r="J296" i="2" s="1"/>
  <c r="G51" i="2"/>
  <c r="H51" i="2" s="1"/>
  <c r="J51" i="2" s="1"/>
  <c r="J543" i="2"/>
  <c r="I470" i="2"/>
  <c r="I260" i="2"/>
  <c r="J615" i="2"/>
  <c r="J611" i="2"/>
  <c r="I503" i="2"/>
  <c r="J490" i="2"/>
  <c r="I648" i="2"/>
  <c r="J483" i="2"/>
  <c r="J443" i="2"/>
  <c r="J597" i="2"/>
  <c r="J448" i="2"/>
  <c r="J537" i="2"/>
  <c r="I658" i="2"/>
  <c r="I639" i="2"/>
  <c r="I549" i="2"/>
  <c r="I456" i="2"/>
  <c r="I621" i="2"/>
  <c r="I537" i="2"/>
  <c r="J551" i="2"/>
  <c r="J509" i="2"/>
  <c r="J467" i="2"/>
  <c r="I525" i="2"/>
  <c r="I640" i="2"/>
  <c r="I464" i="2"/>
  <c r="J524" i="2"/>
  <c r="I609" i="2"/>
  <c r="I519" i="2"/>
  <c r="J503" i="2"/>
  <c r="J630" i="2"/>
  <c r="J468" i="2"/>
  <c r="I228" i="2"/>
  <c r="J508" i="2"/>
  <c r="I508" i="2"/>
  <c r="I491" i="2"/>
  <c r="I494" i="2"/>
  <c r="J479" i="2"/>
  <c r="J485" i="2"/>
  <c r="I564" i="2"/>
  <c r="J460" i="2"/>
  <c r="J645" i="2"/>
  <c r="J453" i="2"/>
  <c r="J504" i="2"/>
  <c r="I501" i="2"/>
  <c r="I500" i="2"/>
  <c r="I504" i="2"/>
  <c r="I611" i="2"/>
  <c r="J525" i="2"/>
  <c r="I543" i="2"/>
  <c r="J491" i="2"/>
  <c r="I573" i="2"/>
  <c r="J488" i="2"/>
  <c r="I516" i="2"/>
  <c r="I467" i="2"/>
  <c r="J648" i="2"/>
  <c r="J594" i="2"/>
  <c r="J515" i="2"/>
  <c r="J500" i="2"/>
  <c r="J456" i="2"/>
  <c r="J459" i="2"/>
  <c r="J665" i="2"/>
  <c r="I453" i="2"/>
  <c r="I569" i="2"/>
  <c r="J440" i="2"/>
  <c r="J573" i="2"/>
  <c r="J470" i="2"/>
  <c r="I594" i="2"/>
  <c r="I654" i="2"/>
  <c r="I550" i="2"/>
  <c r="J609" i="2"/>
  <c r="I588" i="2"/>
  <c r="J588" i="2"/>
  <c r="I533" i="2"/>
  <c r="I483" i="2"/>
  <c r="J532" i="2"/>
  <c r="I532" i="2"/>
  <c r="J462" i="2"/>
  <c r="J228" i="2"/>
  <c r="J582" i="2"/>
  <c r="I552" i="2"/>
  <c r="H60" i="2"/>
  <c r="J622" i="2"/>
  <c r="I406" i="2"/>
  <c r="I663" i="2"/>
  <c r="J663" i="2"/>
  <c r="I442" i="2"/>
  <c r="I462" i="2"/>
  <c r="I585" i="2"/>
  <c r="J585" i="2"/>
  <c r="J461" i="2"/>
  <c r="G185" i="2"/>
  <c r="G330" i="2"/>
  <c r="G277" i="2"/>
  <c r="H277" i="2" s="1"/>
  <c r="G67" i="2"/>
  <c r="H67" i="2" s="1"/>
  <c r="G329" i="2"/>
  <c r="G146" i="2"/>
  <c r="G357" i="2"/>
  <c r="H357" i="2" s="1"/>
  <c r="G363" i="2"/>
  <c r="G202" i="2"/>
  <c r="G407" i="2"/>
  <c r="G253" i="2"/>
  <c r="H253" i="2" s="1"/>
  <c r="I253" i="2" s="1"/>
  <c r="G111" i="2"/>
  <c r="H111" i="2" s="1"/>
  <c r="J111" i="2" s="1"/>
  <c r="G191" i="2"/>
  <c r="G238" i="2"/>
  <c r="H238" i="2" s="1"/>
  <c r="G372" i="2"/>
  <c r="H372" i="2" s="1"/>
  <c r="G192" i="2"/>
  <c r="H192" i="2" s="1"/>
  <c r="J192" i="2" s="1"/>
  <c r="G339" i="2"/>
  <c r="G129" i="2"/>
  <c r="H129" i="2" s="1"/>
  <c r="G285" i="2"/>
  <c r="H285" i="2" s="1"/>
  <c r="G73" i="2"/>
  <c r="H73" i="2" s="1"/>
  <c r="G340" i="2"/>
  <c r="G154" i="2"/>
  <c r="G365" i="2"/>
  <c r="G354" i="2"/>
  <c r="G181" i="2"/>
  <c r="H181" i="2" s="1"/>
  <c r="G345" i="2"/>
  <c r="H345" i="2" s="1"/>
  <c r="G138" i="2"/>
  <c r="H138" i="2" s="1"/>
  <c r="G246" i="2"/>
  <c r="H246" i="2" s="1"/>
  <c r="J246" i="2" s="1"/>
  <c r="G201" i="2"/>
  <c r="H201" i="2" s="1"/>
  <c r="G346" i="2"/>
  <c r="H346" i="2" s="1"/>
  <c r="G134" i="2"/>
  <c r="H134" i="2" s="1"/>
  <c r="G333" i="2"/>
  <c r="G349" i="2"/>
  <c r="H349" i="2" s="1"/>
  <c r="I349" i="2" s="1"/>
  <c r="G379" i="2"/>
  <c r="H379" i="2" s="1"/>
  <c r="J379" i="2" s="1"/>
  <c r="G173" i="2"/>
  <c r="H173" i="2" s="1"/>
  <c r="I173" i="2" s="1"/>
  <c r="G237" i="2"/>
  <c r="H237" i="2" s="1"/>
  <c r="I237" i="2" s="1"/>
  <c r="G218" i="2"/>
  <c r="G389" i="2"/>
  <c r="H389" i="2" s="1"/>
  <c r="J389" i="2" s="1"/>
  <c r="G142" i="2"/>
  <c r="G341" i="2"/>
  <c r="G102" i="2"/>
  <c r="H102" i="2" s="1"/>
  <c r="G409" i="2"/>
  <c r="G334" i="2"/>
  <c r="G318" i="2"/>
  <c r="H318" i="2" s="1"/>
  <c r="G431" i="2"/>
  <c r="H431" i="2" s="1"/>
  <c r="G396" i="2"/>
  <c r="G149" i="2"/>
  <c r="H149" i="2" s="1"/>
  <c r="G356" i="2"/>
  <c r="G117" i="2"/>
  <c r="G344" i="2"/>
  <c r="H344" i="2" s="1"/>
  <c r="J344" i="2" s="1"/>
  <c r="G413" i="2"/>
  <c r="H413" i="2" s="1"/>
  <c r="G292" i="2"/>
  <c r="H292" i="2" s="1"/>
  <c r="G81" i="2"/>
  <c r="H81" i="2" s="1"/>
  <c r="I81" i="2" s="1"/>
  <c r="G408" i="2"/>
  <c r="H408" i="2" s="1"/>
  <c r="G70" i="2"/>
  <c r="G250" i="2"/>
  <c r="H250" i="2" s="1"/>
  <c r="J250" i="2" s="1"/>
  <c r="G352" i="2"/>
  <c r="H352" i="2" s="1"/>
  <c r="G16" i="2"/>
  <c r="H16" i="2" s="1"/>
  <c r="G424" i="2"/>
  <c r="H424" i="2" s="1"/>
  <c r="G303" i="2"/>
  <c r="G331" i="2"/>
  <c r="H331" i="2" s="1"/>
  <c r="J331" i="2" s="1"/>
  <c r="G74" i="2"/>
  <c r="H74" i="2" s="1"/>
  <c r="I74" i="2" s="1"/>
  <c r="G399" i="2"/>
  <c r="H399" i="2" s="1"/>
  <c r="I399" i="2" s="1"/>
  <c r="G435" i="2"/>
  <c r="H435" i="2" s="1"/>
  <c r="J435" i="2" s="1"/>
  <c r="G26" i="2"/>
  <c r="H26" i="2" s="1"/>
  <c r="G244" i="2"/>
  <c r="H244" i="2" s="1"/>
  <c r="I244" i="2" s="1"/>
  <c r="J446" i="2"/>
  <c r="I446" i="2"/>
  <c r="J658" i="2"/>
  <c r="G31" i="2"/>
  <c r="H31" i="2" s="1"/>
  <c r="G371" i="2"/>
  <c r="H371" i="2" s="1"/>
  <c r="I371" i="2" s="1"/>
  <c r="G40" i="2"/>
  <c r="H40" i="2" s="1"/>
  <c r="G432" i="2"/>
  <c r="H432" i="2" s="1"/>
  <c r="G311" i="2"/>
  <c r="H311" i="2" s="1"/>
  <c r="J311" i="2" s="1"/>
  <c r="G320" i="2"/>
  <c r="H320" i="2" s="1"/>
  <c r="G68" i="2"/>
  <c r="H68" i="2" s="1"/>
  <c r="G378" i="2"/>
  <c r="H378" i="2" s="1"/>
  <c r="I378" i="2" s="1"/>
  <c r="G382" i="2"/>
  <c r="H382" i="2" s="1"/>
  <c r="J382" i="2" s="1"/>
  <c r="G15" i="2"/>
  <c r="H15" i="2" s="1"/>
  <c r="G112" i="2"/>
  <c r="H142" i="2"/>
  <c r="J142" i="2" s="1"/>
  <c r="J654" i="2"/>
  <c r="H236" i="2"/>
  <c r="I281" i="2"/>
  <c r="I622" i="2"/>
  <c r="I603" i="2"/>
  <c r="J603" i="2"/>
  <c r="J518" i="2"/>
  <c r="I518" i="2"/>
  <c r="J477" i="2"/>
  <c r="I477" i="2"/>
  <c r="J545" i="2"/>
  <c r="I545" i="2"/>
  <c r="I219" i="2"/>
  <c r="H106" i="2"/>
  <c r="J106" i="2" s="1"/>
  <c r="I506" i="2"/>
  <c r="J506" i="2"/>
  <c r="J534" i="2"/>
  <c r="I534" i="2"/>
  <c r="I476" i="2"/>
  <c r="J476" i="2"/>
  <c r="I624" i="2"/>
  <c r="J624" i="2"/>
  <c r="I556" i="2"/>
  <c r="J556" i="2"/>
  <c r="J659" i="2"/>
  <c r="I659" i="2"/>
  <c r="J486" i="2"/>
  <c r="I486" i="2"/>
  <c r="I612" i="2"/>
  <c r="J612" i="2"/>
  <c r="I618" i="2"/>
  <c r="J618" i="2"/>
  <c r="I468" i="2"/>
  <c r="I531" i="2"/>
  <c r="J531" i="2"/>
  <c r="J442" i="2"/>
  <c r="J501" i="2"/>
  <c r="I495" i="2"/>
  <c r="J495" i="2"/>
  <c r="H65" i="2"/>
  <c r="I65" i="2" s="1"/>
  <c r="I488" i="2"/>
  <c r="J561" i="2"/>
  <c r="I561" i="2"/>
  <c r="I484" i="2"/>
  <c r="J484" i="2"/>
  <c r="G24" i="2"/>
  <c r="G32" i="2"/>
  <c r="G28" i="2"/>
  <c r="G54" i="2"/>
  <c r="G66" i="2"/>
  <c r="G90" i="2"/>
  <c r="G99" i="2"/>
  <c r="G114" i="2"/>
  <c r="G125" i="2"/>
  <c r="G182" i="2"/>
  <c r="G195" i="2"/>
  <c r="G207" i="2"/>
  <c r="G221" i="2"/>
  <c r="G254" i="2"/>
  <c r="G305" i="2"/>
  <c r="H305" i="2" s="1"/>
  <c r="J305" i="2" s="1"/>
  <c r="G335" i="2"/>
  <c r="G348" i="2"/>
  <c r="G360" i="2"/>
  <c r="G373" i="2"/>
  <c r="G428" i="2"/>
  <c r="G439" i="2"/>
  <c r="G18" i="2"/>
  <c r="G45" i="2"/>
  <c r="G56" i="2"/>
  <c r="G91" i="2"/>
  <c r="H91" i="2" s="1"/>
  <c r="J91" i="2" s="1"/>
  <c r="G135" i="2"/>
  <c r="G171" i="2"/>
  <c r="G183" i="2"/>
  <c r="G209" i="2"/>
  <c r="G245" i="2"/>
  <c r="G255" i="2"/>
  <c r="G337" i="2"/>
  <c r="G361" i="2"/>
  <c r="G410" i="2"/>
  <c r="G430" i="2"/>
  <c r="G19" i="2"/>
  <c r="G57" i="2"/>
  <c r="G82" i="2"/>
  <c r="G92" i="2"/>
  <c r="G105" i="2"/>
  <c r="G115" i="2"/>
  <c r="G127" i="2"/>
  <c r="G140" i="2"/>
  <c r="G151" i="2"/>
  <c r="H151" i="2" s="1"/>
  <c r="J151" i="2" s="1"/>
  <c r="G163" i="2"/>
  <c r="G174" i="2"/>
  <c r="H174" i="2" s="1"/>
  <c r="I174" i="2" s="1"/>
  <c r="G184" i="2"/>
  <c r="G198" i="2"/>
  <c r="G211" i="2"/>
  <c r="G233" i="2"/>
  <c r="H233" i="2" s="1"/>
  <c r="I233" i="2" s="1"/>
  <c r="G257" i="2"/>
  <c r="G268" i="2"/>
  <c r="G282" i="2"/>
  <c r="G307" i="2"/>
  <c r="G350" i="2"/>
  <c r="G375" i="2"/>
  <c r="G398" i="2"/>
  <c r="G20" i="2"/>
  <c r="G46" i="2"/>
  <c r="G72" i="2"/>
  <c r="G93" i="2"/>
  <c r="G116" i="2"/>
  <c r="G186" i="2"/>
  <c r="G212" i="2"/>
  <c r="G234" i="2"/>
  <c r="G283" i="2"/>
  <c r="G411" i="2"/>
  <c r="G47" i="2"/>
  <c r="G58" i="2"/>
  <c r="G118" i="2"/>
  <c r="H118" i="2" s="1"/>
  <c r="I118" i="2" s="1"/>
  <c r="G128" i="2"/>
  <c r="H128" i="2" s="1"/>
  <c r="J128" i="2" s="1"/>
  <c r="G141" i="2"/>
  <c r="G153" i="2"/>
  <c r="G164" i="2"/>
  <c r="G213" i="2"/>
  <c r="G224" i="2"/>
  <c r="G297" i="2"/>
  <c r="G338" i="2"/>
  <c r="G386" i="2"/>
  <c r="G119" i="2"/>
  <c r="G130" i="2"/>
  <c r="G188" i="2"/>
  <c r="G239" i="2"/>
  <c r="G258" i="2"/>
  <c r="G312" i="2"/>
  <c r="G324" i="2"/>
  <c r="G367" i="2"/>
  <c r="G390" i="2"/>
  <c r="G48" i="2"/>
  <c r="G62" i="2"/>
  <c r="G84" i="2"/>
  <c r="G107" i="2"/>
  <c r="G166" i="2"/>
  <c r="G189" i="2"/>
  <c r="G215" i="2"/>
  <c r="G259" i="2"/>
  <c r="G342" i="2"/>
  <c r="G368" i="2"/>
  <c r="G391" i="2"/>
  <c r="G412" i="2"/>
  <c r="G49" i="2"/>
  <c r="G63" i="2"/>
  <c r="G97" i="2"/>
  <c r="G108" i="2"/>
  <c r="G120" i="2"/>
  <c r="G155" i="2"/>
  <c r="G216" i="2"/>
  <c r="G286" i="2"/>
  <c r="G299" i="2"/>
  <c r="G326" i="2"/>
  <c r="G377" i="2"/>
  <c r="G425" i="2"/>
  <c r="G17" i="2"/>
  <c r="G29" i="2"/>
  <c r="G43" i="2"/>
  <c r="G80" i="2"/>
  <c r="G101" i="2"/>
  <c r="G126" i="2"/>
  <c r="G150" i="2"/>
  <c r="G170" i="2"/>
  <c r="G208" i="2"/>
  <c r="G222" i="2"/>
  <c r="G232" i="2"/>
  <c r="G266" i="2"/>
  <c r="G293" i="2"/>
  <c r="G306" i="2"/>
  <c r="G336" i="2"/>
  <c r="G374" i="2"/>
  <c r="G384" i="2"/>
  <c r="G395" i="2"/>
  <c r="G419" i="2"/>
  <c r="G30" i="2"/>
  <c r="G197" i="2"/>
  <c r="G267" i="2"/>
  <c r="G294" i="2"/>
  <c r="G420" i="2"/>
  <c r="G34" i="2"/>
  <c r="G83" i="2"/>
  <c r="G152" i="2"/>
  <c r="H152" i="2" s="1"/>
  <c r="I152" i="2" s="1"/>
  <c r="G176" i="2"/>
  <c r="G200" i="2"/>
  <c r="G248" i="2"/>
  <c r="G295" i="2"/>
  <c r="G351" i="2"/>
  <c r="G187" i="2"/>
  <c r="G323" i="2"/>
  <c r="G421" i="2"/>
  <c r="G35" i="2"/>
  <c r="G284" i="2"/>
  <c r="G355" i="2"/>
  <c r="G401" i="2"/>
  <c r="G434" i="2"/>
  <c r="G36" i="2"/>
  <c r="G96" i="2"/>
  <c r="G143" i="2"/>
  <c r="G177" i="2"/>
  <c r="G203" i="2"/>
  <c r="G225" i="2"/>
  <c r="G249" i="2"/>
  <c r="G274" i="2"/>
  <c r="G298" i="2"/>
  <c r="G325" i="2"/>
  <c r="G402" i="2"/>
  <c r="G37" i="2"/>
  <c r="G132" i="2"/>
  <c r="G167" i="2"/>
  <c r="G204" i="2"/>
  <c r="G226" i="2"/>
  <c r="G251" i="2"/>
  <c r="G275" i="2"/>
  <c r="H275" i="2" s="1"/>
  <c r="J275" i="2" s="1"/>
  <c r="G343" i="2"/>
  <c r="G436" i="2"/>
  <c r="G25" i="2"/>
  <c r="G75" i="2"/>
  <c r="G122" i="2"/>
  <c r="G169" i="2"/>
  <c r="G314" i="2"/>
  <c r="G123" i="2"/>
  <c r="G265" i="2"/>
  <c r="G316" i="2"/>
  <c r="G370" i="2"/>
  <c r="G418" i="2"/>
  <c r="G86" i="2"/>
  <c r="G276" i="2"/>
  <c r="G327" i="2"/>
  <c r="G427" i="2"/>
  <c r="G38" i="2"/>
  <c r="G133" i="2"/>
  <c r="G178" i="2"/>
  <c r="G229" i="2"/>
  <c r="G89" i="2"/>
  <c r="G179" i="2"/>
  <c r="G231" i="2"/>
  <c r="G328" i="2"/>
  <c r="H328" i="2" s="1"/>
  <c r="I328" i="2" s="1"/>
  <c r="G98" i="2"/>
  <c r="G144" i="2"/>
  <c r="G193" i="2"/>
  <c r="G240" i="2"/>
  <c r="G145" i="2"/>
  <c r="G194" i="2"/>
  <c r="G241" i="2"/>
  <c r="G392" i="2"/>
  <c r="G437" i="2"/>
  <c r="G53" i="2"/>
  <c r="G242" i="2"/>
  <c r="G289" i="2"/>
  <c r="G347" i="2"/>
  <c r="G394" i="2"/>
  <c r="G64" i="2"/>
  <c r="G158" i="2"/>
  <c r="G205" i="2"/>
  <c r="G403" i="2"/>
  <c r="G304" i="2"/>
  <c r="G358" i="2"/>
  <c r="G404" i="2"/>
  <c r="G159" i="2"/>
  <c r="G252" i="2"/>
  <c r="G359" i="2"/>
  <c r="G405" i="2"/>
  <c r="G76" i="2"/>
  <c r="G264" i="2"/>
  <c r="H264" i="2" s="1"/>
  <c r="J264" i="2" s="1"/>
  <c r="G369" i="2"/>
  <c r="G300" i="2"/>
  <c r="G227" i="2"/>
  <c r="G381" i="2"/>
  <c r="G400" i="2"/>
  <c r="G139" i="2"/>
  <c r="G319" i="2"/>
  <c r="G417" i="2"/>
  <c r="G55" i="2"/>
  <c r="G383" i="2"/>
  <c r="G168" i="2"/>
  <c r="G44" i="2"/>
  <c r="I460" i="2"/>
  <c r="I515" i="2"/>
  <c r="I645" i="2"/>
  <c r="G165" i="2"/>
  <c r="G317" i="2"/>
  <c r="I555" i="2"/>
  <c r="J555" i="2"/>
  <c r="G78" i="2"/>
  <c r="G362" i="2"/>
  <c r="I582" i="2"/>
  <c r="G85" i="2"/>
  <c r="H85" i="2" s="1"/>
  <c r="J85" i="2" s="1"/>
  <c r="G262" i="2"/>
  <c r="G388" i="2"/>
  <c r="G393" i="2"/>
  <c r="G273" i="2"/>
  <c r="G131" i="2"/>
  <c r="G27" i="2"/>
  <c r="G422" i="2"/>
  <c r="H422" i="2" s="1"/>
  <c r="I422" i="2" s="1"/>
  <c r="G313" i="2"/>
  <c r="G308" i="2"/>
  <c r="G39" i="2"/>
  <c r="G287" i="2"/>
  <c r="G161" i="2"/>
  <c r="J474" i="2"/>
  <c r="I474" i="2"/>
  <c r="I587" i="2"/>
  <c r="J587" i="2"/>
  <c r="I610" i="2"/>
  <c r="J610" i="2"/>
  <c r="I557" i="2"/>
  <c r="J557" i="2"/>
  <c r="J528" i="2"/>
  <c r="I528" i="2"/>
  <c r="I623" i="2"/>
  <c r="J623" i="2"/>
  <c r="J533" i="2"/>
  <c r="J550" i="2"/>
  <c r="I539" i="2"/>
  <c r="J539" i="2"/>
  <c r="H77" i="2"/>
  <c r="J77" i="2" s="1"/>
  <c r="H309" i="2"/>
  <c r="J309" i="2" s="1"/>
  <c r="J540" i="2"/>
  <c r="G156" i="2"/>
  <c r="G438" i="2"/>
  <c r="G353" i="2"/>
  <c r="G79" i="2"/>
  <c r="J513" i="2"/>
  <c r="I513" i="2"/>
  <c r="I660" i="2"/>
  <c r="J660" i="2"/>
  <c r="G278" i="2"/>
  <c r="G42" i="2"/>
  <c r="G160" i="2"/>
  <c r="J519" i="2"/>
  <c r="G23" i="2"/>
  <c r="G172" i="2"/>
  <c r="G332" i="2"/>
  <c r="G104" i="2"/>
  <c r="G247" i="2"/>
  <c r="G380" i="2"/>
  <c r="G113" i="2"/>
  <c r="G385" i="2"/>
  <c r="G256" i="2"/>
  <c r="G124" i="2"/>
  <c r="G22" i="2"/>
  <c r="G414" i="2"/>
  <c r="G397" i="2"/>
  <c r="G301" i="2"/>
  <c r="G162" i="2"/>
  <c r="G33" i="2"/>
  <c r="G366" i="2"/>
  <c r="G279" i="2"/>
  <c r="G136" i="2"/>
  <c r="G21" i="2"/>
  <c r="I544" i="2" l="1"/>
  <c r="J544" i="2"/>
  <c r="J447" i="2"/>
  <c r="J604" i="2"/>
  <c r="K604" i="2" s="1"/>
  <c r="J592" i="2"/>
  <c r="K592" i="2" s="1"/>
  <c r="I576" i="2"/>
  <c r="I540" i="2"/>
  <c r="K540" i="2" s="1"/>
  <c r="I480" i="2"/>
  <c r="I452" i="2"/>
  <c r="I512" i="2"/>
  <c r="J567" i="2"/>
  <c r="I567" i="2"/>
  <c r="J548" i="2"/>
  <c r="I548" i="2"/>
  <c r="K548" i="2" s="1"/>
  <c r="I507" i="2"/>
  <c r="J507" i="2"/>
  <c r="J497" i="2"/>
  <c r="I497" i="2"/>
  <c r="K497" i="2" s="1"/>
  <c r="I465" i="2"/>
  <c r="J465" i="2"/>
  <c r="J492" i="2"/>
  <c r="I492" i="2"/>
  <c r="K492" i="2" s="1"/>
  <c r="I471" i="2"/>
  <c r="J471" i="2"/>
  <c r="I447" i="2"/>
  <c r="J576" i="2"/>
  <c r="J480" i="2"/>
  <c r="J593" i="2"/>
  <c r="K593" i="2" s="1"/>
  <c r="J496" i="2"/>
  <c r="K496" i="2" s="1"/>
  <c r="J452" i="2"/>
  <c r="I449" i="2"/>
  <c r="J512" i="2"/>
  <c r="J498" i="2"/>
  <c r="K498" i="2" s="1"/>
  <c r="J449" i="2"/>
  <c r="I441" i="2"/>
  <c r="J441" i="2"/>
  <c r="I600" i="2"/>
  <c r="J600" i="2"/>
  <c r="I526" i="2"/>
  <c r="J526" i="2"/>
  <c r="I606" i="2"/>
  <c r="J606" i="2"/>
  <c r="J605" i="2"/>
  <c r="I605" i="2"/>
  <c r="K605" i="2" s="1"/>
  <c r="J586" i="2"/>
  <c r="I586" i="2"/>
  <c r="J574" i="2"/>
  <c r="I574" i="2"/>
  <c r="K574" i="2" s="1"/>
  <c r="J570" i="2"/>
  <c r="I570" i="2"/>
  <c r="J568" i="2"/>
  <c r="I568" i="2"/>
  <c r="K568" i="2" s="1"/>
  <c r="J558" i="2"/>
  <c r="I558" i="2"/>
  <c r="J546" i="2"/>
  <c r="I546" i="2"/>
  <c r="K546" i="2" s="1"/>
  <c r="J542" i="2"/>
  <c r="I542" i="2"/>
  <c r="I530" i="2"/>
  <c r="J530" i="2"/>
  <c r="I522" i="2"/>
  <c r="J522" i="2"/>
  <c r="I521" i="2"/>
  <c r="J521" i="2"/>
  <c r="I520" i="2"/>
  <c r="J520" i="2"/>
  <c r="J514" i="2"/>
  <c r="I514" i="2"/>
  <c r="K514" i="2" s="1"/>
  <c r="I510" i="2"/>
  <c r="J510" i="2"/>
  <c r="I502" i="2"/>
  <c r="J502" i="2"/>
  <c r="I489" i="2"/>
  <c r="J489" i="2"/>
  <c r="I478" i="2"/>
  <c r="J478" i="2"/>
  <c r="J455" i="2"/>
  <c r="I455" i="2"/>
  <c r="K455" i="2" s="1"/>
  <c r="I472" i="2"/>
  <c r="J472" i="2"/>
  <c r="J482" i="2"/>
  <c r="I482" i="2"/>
  <c r="K482" i="2" s="1"/>
  <c r="I466" i="2"/>
  <c r="J466" i="2"/>
  <c r="I458" i="2"/>
  <c r="J458" i="2"/>
  <c r="J473" i="2"/>
  <c r="I473" i="2"/>
  <c r="K473" i="2" s="1"/>
  <c r="J651" i="2"/>
  <c r="I651" i="2"/>
  <c r="K651" i="2" s="1"/>
  <c r="J642" i="2"/>
  <c r="I642" i="2"/>
  <c r="K642" i="2" s="1"/>
  <c r="J641" i="2"/>
  <c r="I641" i="2"/>
  <c r="J636" i="2"/>
  <c r="I636" i="2"/>
  <c r="K636" i="2" s="1"/>
  <c r="J633" i="2"/>
  <c r="I633" i="2"/>
  <c r="K633" i="2" s="1"/>
  <c r="J629" i="2"/>
  <c r="I629" i="2"/>
  <c r="K629" i="2" s="1"/>
  <c r="J627" i="2"/>
  <c r="I627" i="2"/>
  <c r="I657" i="2"/>
  <c r="J657" i="2"/>
  <c r="J560" i="2"/>
  <c r="I560" i="2"/>
  <c r="K560" i="2" s="1"/>
  <c r="J666" i="2"/>
  <c r="I666" i="2"/>
  <c r="I669" i="2"/>
  <c r="J669" i="2"/>
  <c r="J676" i="2"/>
  <c r="I676" i="2"/>
  <c r="J677" i="2"/>
  <c r="I677" i="2"/>
  <c r="J628" i="2"/>
  <c r="I628" i="2"/>
  <c r="F578" i="2"/>
  <c r="G566" i="2"/>
  <c r="H566" i="2" s="1"/>
  <c r="H235" i="2"/>
  <c r="F451" i="2"/>
  <c r="G451" i="2" s="1"/>
  <c r="H451" i="2" s="1"/>
  <c r="G445" i="2"/>
  <c r="H445" i="2" s="1"/>
  <c r="G672" i="2"/>
  <c r="H672" i="2" s="1"/>
  <c r="F678" i="2"/>
  <c r="G675" i="2"/>
  <c r="H675" i="2" s="1"/>
  <c r="F681" i="2"/>
  <c r="G694" i="2"/>
  <c r="H694" i="2" s="1"/>
  <c r="F712" i="2"/>
  <c r="G683" i="2"/>
  <c r="H683" i="2" s="1"/>
  <c r="F695" i="2"/>
  <c r="G562" i="2"/>
  <c r="G554" i="2"/>
  <c r="H554" i="2" s="1"/>
  <c r="F563" i="2"/>
  <c r="F646" i="2"/>
  <c r="J87" i="2"/>
  <c r="J219" i="2"/>
  <c r="I243" i="2"/>
  <c r="K243" i="2" s="1"/>
  <c r="H14" i="2"/>
  <c r="J52" i="2"/>
  <c r="K52" i="2" s="1"/>
  <c r="H230" i="2"/>
  <c r="I60" i="2"/>
  <c r="K524" i="2"/>
  <c r="I147" i="2"/>
  <c r="K147" i="2" s="1"/>
  <c r="I220" i="2"/>
  <c r="I429" i="2"/>
  <c r="K500" i="2"/>
  <c r="J236" i="2"/>
  <c r="I210" i="2"/>
  <c r="J210" i="2"/>
  <c r="J214" i="2"/>
  <c r="J426" i="2"/>
  <c r="I94" i="2"/>
  <c r="K94" i="2" s="1"/>
  <c r="I271" i="2"/>
  <c r="K271" i="2" s="1"/>
  <c r="I71" i="2"/>
  <c r="J71" i="2"/>
  <c r="J302" i="2"/>
  <c r="J60" i="2"/>
  <c r="J223" i="2"/>
  <c r="J261" i="2"/>
  <c r="I261" i="2"/>
  <c r="I223" i="2"/>
  <c r="J423" i="2"/>
  <c r="J103" i="2"/>
  <c r="K103" i="2" s="1"/>
  <c r="I302" i="2"/>
  <c r="I376" i="2"/>
  <c r="K376" i="2" s="1"/>
  <c r="J190" i="2"/>
  <c r="J269" i="2"/>
  <c r="J315" i="2"/>
  <c r="K315" i="2" s="1"/>
  <c r="I214" i="2"/>
  <c r="I344" i="2"/>
  <c r="K344" i="2" s="1"/>
  <c r="I269" i="2"/>
  <c r="J263" i="2"/>
  <c r="I263" i="2"/>
  <c r="H303" i="2"/>
  <c r="I303" i="2" s="1"/>
  <c r="J65" i="2"/>
  <c r="K65" i="2" s="1"/>
  <c r="I121" i="2"/>
  <c r="I142" i="2"/>
  <c r="K142" i="2" s="1"/>
  <c r="J199" i="2"/>
  <c r="K199" i="2" s="1"/>
  <c r="J121" i="2"/>
  <c r="I137" i="2"/>
  <c r="I290" i="2"/>
  <c r="H196" i="2"/>
  <c r="J196" i="2" s="1"/>
  <c r="H112" i="2"/>
  <c r="J112" i="2" s="1"/>
  <c r="J290" i="2"/>
  <c r="J148" i="2"/>
  <c r="K148" i="2" s="1"/>
  <c r="J88" i="2"/>
  <c r="J100" i="2"/>
  <c r="K100" i="2" s="1"/>
  <c r="I270" i="2"/>
  <c r="K270" i="2" s="1"/>
  <c r="J310" i="2"/>
  <c r="J260" i="2"/>
  <c r="J253" i="2"/>
  <c r="J137" i="2"/>
  <c r="I102" i="2"/>
  <c r="I272" i="2"/>
  <c r="K272" i="2" s="1"/>
  <c r="I415" i="2"/>
  <c r="I310" i="2"/>
  <c r="I88" i="2"/>
  <c r="J157" i="2"/>
  <c r="J14" i="2"/>
  <c r="J322" i="2"/>
  <c r="K322" i="2" s="1"/>
  <c r="J433" i="2"/>
  <c r="J422" i="2"/>
  <c r="K422" i="2" s="1"/>
  <c r="I181" i="2"/>
  <c r="J345" i="2"/>
  <c r="J134" i="2"/>
  <c r="I357" i="2"/>
  <c r="J26" i="2"/>
  <c r="I134" i="2"/>
  <c r="I435" i="2"/>
  <c r="I77" i="2"/>
  <c r="K77" i="2" s="1"/>
  <c r="J59" i="2"/>
  <c r="K59" i="2" s="1"/>
  <c r="I192" i="2"/>
  <c r="I85" i="2"/>
  <c r="K85" i="2" s="1"/>
  <c r="I309" i="2"/>
  <c r="K309" i="2" s="1"/>
  <c r="I236" i="2"/>
  <c r="J50" i="2"/>
  <c r="I217" i="2"/>
  <c r="K217" i="2" s="1"/>
  <c r="J95" i="2"/>
  <c r="K95" i="2" s="1"/>
  <c r="J429" i="2"/>
  <c r="J41" i="2"/>
  <c r="K41" i="2" s="1"/>
  <c r="I382" i="2"/>
  <c r="K382" i="2" s="1"/>
  <c r="J285" i="2"/>
  <c r="J292" i="2"/>
  <c r="J174" i="2"/>
  <c r="J320" i="2"/>
  <c r="I151" i="2"/>
  <c r="K151" i="2" s="1"/>
  <c r="J173" i="2"/>
  <c r="J416" i="2"/>
  <c r="K416" i="2" s="1"/>
  <c r="I106" i="2"/>
  <c r="J138" i="2"/>
  <c r="J291" i="2"/>
  <c r="I432" i="2"/>
  <c r="I320" i="2"/>
  <c r="I109" i="2"/>
  <c r="K109" i="2" s="1"/>
  <c r="I68" i="2"/>
  <c r="J346" i="2"/>
  <c r="J408" i="2"/>
  <c r="I246" i="2"/>
  <c r="K246" i="2" s="1"/>
  <c r="I346" i="2"/>
  <c r="J68" i="2"/>
  <c r="J277" i="2"/>
  <c r="J220" i="2"/>
  <c r="I206" i="2"/>
  <c r="K206" i="2" s="1"/>
  <c r="J129" i="2"/>
  <c r="I67" i="2"/>
  <c r="J357" i="2"/>
  <c r="K357" i="2" s="1"/>
  <c r="I285" i="2"/>
  <c r="K285" i="2" s="1"/>
  <c r="J149" i="2"/>
  <c r="J244" i="2"/>
  <c r="J378" i="2"/>
  <c r="K378" i="2" s="1"/>
  <c r="J102" i="2"/>
  <c r="I201" i="2"/>
  <c r="J318" i="2"/>
  <c r="J180" i="2"/>
  <c r="I372" i="2"/>
  <c r="J73" i="2"/>
  <c r="I31" i="2"/>
  <c r="I413" i="2"/>
  <c r="I129" i="2"/>
  <c r="J432" i="2"/>
  <c r="J81" i="2"/>
  <c r="K81" i="2" s="1"/>
  <c r="J67" i="2"/>
  <c r="I387" i="2"/>
  <c r="K387" i="2" s="1"/>
  <c r="I424" i="2"/>
  <c r="I352" i="2"/>
  <c r="I296" i="2"/>
  <c r="K296" i="2" s="1"/>
  <c r="J372" i="2"/>
  <c r="I292" i="2"/>
  <c r="I73" i="2"/>
  <c r="I311" i="2"/>
  <c r="K311" i="2" s="1"/>
  <c r="I51" i="2"/>
  <c r="K51" i="2" s="1"/>
  <c r="I15" i="2"/>
  <c r="J15" i="2"/>
  <c r="H330" i="2"/>
  <c r="I330" i="2" s="1"/>
  <c r="J40" i="2"/>
  <c r="H185" i="2"/>
  <c r="J185" i="2" s="1"/>
  <c r="H356" i="2"/>
  <c r="J356" i="2" s="1"/>
  <c r="H365" i="2"/>
  <c r="I365" i="2" s="1"/>
  <c r="H340" i="2"/>
  <c r="J340" i="2" s="1"/>
  <c r="H202" i="2"/>
  <c r="J202" i="2" s="1"/>
  <c r="I318" i="2"/>
  <c r="J181" i="2"/>
  <c r="J371" i="2"/>
  <c r="K371" i="2" s="1"/>
  <c r="H407" i="2"/>
  <c r="J407" i="2" s="1"/>
  <c r="I345" i="2"/>
  <c r="H218" i="2"/>
  <c r="I218" i="2" s="1"/>
  <c r="J74" i="2"/>
  <c r="H117" i="2"/>
  <c r="J117" i="2" s="1"/>
  <c r="H70" i="2"/>
  <c r="I264" i="2"/>
  <c r="I40" i="2"/>
  <c r="J399" i="2"/>
  <c r="K399" i="2" s="1"/>
  <c r="H396" i="2"/>
  <c r="J396" i="2" s="1"/>
  <c r="H154" i="2"/>
  <c r="I154" i="2" s="1"/>
  <c r="J237" i="2"/>
  <c r="K237" i="2" s="1"/>
  <c r="H333" i="2"/>
  <c r="I333" i="2" s="1"/>
  <c r="H363" i="2"/>
  <c r="J363" i="2" s="1"/>
  <c r="J431" i="2"/>
  <c r="H334" i="2"/>
  <c r="J334" i="2" s="1"/>
  <c r="I431" i="2"/>
  <c r="H409" i="2"/>
  <c r="I409" i="2" s="1"/>
  <c r="H146" i="2"/>
  <c r="J146" i="2" s="1"/>
  <c r="H354" i="2"/>
  <c r="J354" i="2" s="1"/>
  <c r="I389" i="2"/>
  <c r="J238" i="2"/>
  <c r="H191" i="2"/>
  <c r="J191" i="2" s="1"/>
  <c r="H339" i="2"/>
  <c r="H329" i="2"/>
  <c r="J329" i="2" s="1"/>
  <c r="J328" i="2"/>
  <c r="K328" i="2" s="1"/>
  <c r="I364" i="2"/>
  <c r="I331" i="2"/>
  <c r="J16" i="2"/>
  <c r="I238" i="2"/>
  <c r="I149" i="2"/>
  <c r="J110" i="2"/>
  <c r="I26" i="2"/>
  <c r="H341" i="2"/>
  <c r="J341" i="2" s="1"/>
  <c r="I91" i="2"/>
  <c r="K91" i="2" s="1"/>
  <c r="I16" i="2"/>
  <c r="J424" i="2"/>
  <c r="J413" i="2"/>
  <c r="I111" i="2"/>
  <c r="H162" i="2"/>
  <c r="I162" i="2" s="1"/>
  <c r="H380" i="2"/>
  <c r="I380" i="2" s="1"/>
  <c r="H139" i="2"/>
  <c r="J139" i="2" s="1"/>
  <c r="H145" i="2"/>
  <c r="I145" i="2" s="1"/>
  <c r="H402" i="2"/>
  <c r="I402" i="2" s="1"/>
  <c r="H43" i="2"/>
  <c r="I43" i="2" s="1"/>
  <c r="H84" i="2"/>
  <c r="I84" i="2" s="1"/>
  <c r="H386" i="2"/>
  <c r="J386" i="2" s="1"/>
  <c r="H350" i="2"/>
  <c r="J350" i="2" s="1"/>
  <c r="H255" i="2"/>
  <c r="I255" i="2" s="1"/>
  <c r="H99" i="2"/>
  <c r="I99" i="2" s="1"/>
  <c r="H385" i="2"/>
  <c r="I385" i="2" s="1"/>
  <c r="H247" i="2"/>
  <c r="I247" i="2" s="1"/>
  <c r="H369" i="2"/>
  <c r="I369" i="2" s="1"/>
  <c r="H158" i="2"/>
  <c r="J158" i="2" s="1"/>
  <c r="H427" i="2"/>
  <c r="I427" i="2" s="1"/>
  <c r="H325" i="2"/>
  <c r="J325" i="2" s="1"/>
  <c r="H83" i="2"/>
  <c r="J83" i="2" s="1"/>
  <c r="H29" i="2"/>
  <c r="I29" i="2" s="1"/>
  <c r="H62" i="2"/>
  <c r="I62" i="2" s="1"/>
  <c r="H283" i="2"/>
  <c r="I283" i="2" s="1"/>
  <c r="H127" i="2"/>
  <c r="I127" i="2" s="1"/>
  <c r="H245" i="2"/>
  <c r="J245" i="2" s="1"/>
  <c r="H90" i="2"/>
  <c r="I90" i="2" s="1"/>
  <c r="H397" i="2"/>
  <c r="H104" i="2"/>
  <c r="H388" i="2"/>
  <c r="I388" i="2" s="1"/>
  <c r="H193" i="2"/>
  <c r="J193" i="2" s="1"/>
  <c r="H25" i="2"/>
  <c r="I25" i="2" s="1"/>
  <c r="H284" i="2"/>
  <c r="J284" i="2" s="1"/>
  <c r="H34" i="2"/>
  <c r="I34" i="2" s="1"/>
  <c r="H17" i="2"/>
  <c r="J17" i="2" s="1"/>
  <c r="H48" i="2"/>
  <c r="J48" i="2" s="1"/>
  <c r="H234" i="2"/>
  <c r="H115" i="2"/>
  <c r="I115" i="2" s="1"/>
  <c r="H209" i="2"/>
  <c r="J209" i="2" s="1"/>
  <c r="H66" i="2"/>
  <c r="J31" i="2"/>
  <c r="H262" i="2"/>
  <c r="I262" i="2" s="1"/>
  <c r="H394" i="2"/>
  <c r="I394" i="2" s="1"/>
  <c r="H144" i="2"/>
  <c r="I144" i="2" s="1"/>
  <c r="H436" i="2"/>
  <c r="J436" i="2" s="1"/>
  <c r="H35" i="2"/>
  <c r="I35" i="2" s="1"/>
  <c r="H266" i="2"/>
  <c r="J266" i="2" s="1"/>
  <c r="H412" i="2"/>
  <c r="I412" i="2" s="1"/>
  <c r="H224" i="2"/>
  <c r="I224" i="2" s="1"/>
  <c r="H268" i="2"/>
  <c r="J268" i="2" s="1"/>
  <c r="H183" i="2"/>
  <c r="I183" i="2" s="1"/>
  <c r="H335" i="2"/>
  <c r="J335" i="2" s="1"/>
  <c r="H347" i="2"/>
  <c r="J347" i="2" s="1"/>
  <c r="H98" i="2"/>
  <c r="J98" i="2" s="1"/>
  <c r="H343" i="2"/>
  <c r="I343" i="2" s="1"/>
  <c r="H421" i="2"/>
  <c r="H232" i="2"/>
  <c r="J232" i="2" s="1"/>
  <c r="H391" i="2"/>
  <c r="J391" i="2" s="1"/>
  <c r="H213" i="2"/>
  <c r="J213" i="2" s="1"/>
  <c r="H186" i="2"/>
  <c r="I186" i="2" s="1"/>
  <c r="H92" i="2"/>
  <c r="I92" i="2" s="1"/>
  <c r="H171" i="2"/>
  <c r="J171" i="2" s="1"/>
  <c r="H28" i="2"/>
  <c r="J28" i="2" s="1"/>
  <c r="I250" i="2"/>
  <c r="K250" i="2" s="1"/>
  <c r="H317" i="2"/>
  <c r="J317" i="2" s="1"/>
  <c r="H359" i="2"/>
  <c r="J359" i="2" s="1"/>
  <c r="H418" i="2"/>
  <c r="I418" i="2" s="1"/>
  <c r="H225" i="2"/>
  <c r="I225" i="2" s="1"/>
  <c r="H267" i="2"/>
  <c r="I267" i="2" s="1"/>
  <c r="H326" i="2"/>
  <c r="I326" i="2" s="1"/>
  <c r="H324" i="2"/>
  <c r="J324" i="2" s="1"/>
  <c r="H82" i="2"/>
  <c r="J82" i="2" s="1"/>
  <c r="H254" i="2"/>
  <c r="I254" i="2" s="1"/>
  <c r="J352" i="2"/>
  <c r="J233" i="2"/>
  <c r="K233" i="2" s="1"/>
  <c r="H160" i="2"/>
  <c r="J160" i="2" s="1"/>
  <c r="H27" i="2"/>
  <c r="J27" i="2" s="1"/>
  <c r="H300" i="2"/>
  <c r="J300" i="2" s="1"/>
  <c r="H252" i="2"/>
  <c r="J252" i="2" s="1"/>
  <c r="H231" i="2"/>
  <c r="J231" i="2" s="1"/>
  <c r="H251" i="2"/>
  <c r="J251" i="2" s="1"/>
  <c r="H203" i="2"/>
  <c r="J203" i="2" s="1"/>
  <c r="H197" i="2"/>
  <c r="I197" i="2" s="1"/>
  <c r="H299" i="2"/>
  <c r="I299" i="2" s="1"/>
  <c r="H312" i="2"/>
  <c r="J312" i="2" s="1"/>
  <c r="H153" i="2"/>
  <c r="J153" i="2" s="1"/>
  <c r="H211" i="2"/>
  <c r="J211" i="2" s="1"/>
  <c r="H57" i="2"/>
  <c r="J57" i="2" s="1"/>
  <c r="H221" i="2"/>
  <c r="J221" i="2" s="1"/>
  <c r="I305" i="2"/>
  <c r="H21" i="2"/>
  <c r="I21" i="2" s="1"/>
  <c r="H172" i="2"/>
  <c r="I172" i="2" s="1"/>
  <c r="H362" i="2"/>
  <c r="I362" i="2" s="1"/>
  <c r="H55" i="2"/>
  <c r="I55" i="2" s="1"/>
  <c r="H53" i="2"/>
  <c r="I53" i="2" s="1"/>
  <c r="H179" i="2"/>
  <c r="I179" i="2" s="1"/>
  <c r="H316" i="2"/>
  <c r="I316" i="2" s="1"/>
  <c r="H177" i="2"/>
  <c r="H351" i="2"/>
  <c r="J351" i="2" s="1"/>
  <c r="H30" i="2"/>
  <c r="J30" i="2" s="1"/>
  <c r="H170" i="2"/>
  <c r="I170" i="2" s="1"/>
  <c r="H286" i="2"/>
  <c r="J286" i="2" s="1"/>
  <c r="H258" i="2"/>
  <c r="I258" i="2" s="1"/>
  <c r="H141" i="2"/>
  <c r="J141" i="2" s="1"/>
  <c r="H72" i="2"/>
  <c r="I72" i="2" s="1"/>
  <c r="H198" i="2"/>
  <c r="J198" i="2" s="1"/>
  <c r="H19" i="2"/>
  <c r="I19" i="2" s="1"/>
  <c r="H56" i="2"/>
  <c r="I56" i="2" s="1"/>
  <c r="H207" i="2"/>
  <c r="J207" i="2" s="1"/>
  <c r="H136" i="2"/>
  <c r="J136" i="2" s="1"/>
  <c r="H23" i="2"/>
  <c r="J23" i="2" s="1"/>
  <c r="H273" i="2"/>
  <c r="I273" i="2" s="1"/>
  <c r="H417" i="2"/>
  <c r="I417" i="2" s="1"/>
  <c r="H437" i="2"/>
  <c r="I437" i="2" s="1"/>
  <c r="H265" i="2"/>
  <c r="I265" i="2" s="1"/>
  <c r="H204" i="2"/>
  <c r="J204" i="2" s="1"/>
  <c r="H295" i="2"/>
  <c r="J295" i="2" s="1"/>
  <c r="H150" i="2"/>
  <c r="I150" i="2" s="1"/>
  <c r="H215" i="2"/>
  <c r="I215" i="2" s="1"/>
  <c r="H239" i="2"/>
  <c r="H46" i="2"/>
  <c r="J46" i="2" s="1"/>
  <c r="H430" i="2"/>
  <c r="I430" i="2" s="1"/>
  <c r="H195" i="2"/>
  <c r="J195" i="2" s="1"/>
  <c r="H414" i="2"/>
  <c r="J414" i="2" s="1"/>
  <c r="I61" i="2"/>
  <c r="K61" i="2" s="1"/>
  <c r="H393" i="2"/>
  <c r="I393" i="2" s="1"/>
  <c r="H358" i="2"/>
  <c r="J358" i="2" s="1"/>
  <c r="H229" i="2"/>
  <c r="H123" i="2"/>
  <c r="J123" i="2" s="1"/>
  <c r="H167" i="2"/>
  <c r="J167" i="2" s="1"/>
  <c r="H96" i="2"/>
  <c r="H248" i="2"/>
  <c r="J248" i="2" s="1"/>
  <c r="H395" i="2"/>
  <c r="J395" i="2" s="1"/>
  <c r="H126" i="2"/>
  <c r="I126" i="2" s="1"/>
  <c r="H155" i="2"/>
  <c r="J155" i="2" s="1"/>
  <c r="H189" i="2"/>
  <c r="I189" i="2" s="1"/>
  <c r="H188" i="2"/>
  <c r="J188" i="2" s="1"/>
  <c r="H20" i="2"/>
  <c r="I20" i="2" s="1"/>
  <c r="H410" i="2"/>
  <c r="I410" i="2" s="1"/>
  <c r="H18" i="2"/>
  <c r="I18" i="2" s="1"/>
  <c r="H182" i="2"/>
  <c r="J182" i="2" s="1"/>
  <c r="I277" i="2"/>
  <c r="I128" i="2"/>
  <c r="H366" i="2"/>
  <c r="I366" i="2" s="1"/>
  <c r="H22" i="2"/>
  <c r="J22" i="2" s="1"/>
  <c r="J175" i="2"/>
  <c r="K175" i="2" s="1"/>
  <c r="J349" i="2"/>
  <c r="H308" i="2"/>
  <c r="J308" i="2" s="1"/>
  <c r="H304" i="2"/>
  <c r="I304" i="2" s="1"/>
  <c r="H241" i="2"/>
  <c r="J241" i="2" s="1"/>
  <c r="H178" i="2"/>
  <c r="I178" i="2" s="1"/>
  <c r="H314" i="2"/>
  <c r="I314" i="2" s="1"/>
  <c r="H132" i="2"/>
  <c r="I132" i="2" s="1"/>
  <c r="H36" i="2"/>
  <c r="I36" i="2" s="1"/>
  <c r="H200" i="2"/>
  <c r="I200" i="2" s="1"/>
  <c r="H384" i="2"/>
  <c r="J384" i="2" s="1"/>
  <c r="H101" i="2"/>
  <c r="H120" i="2"/>
  <c r="J120" i="2" s="1"/>
  <c r="H166" i="2"/>
  <c r="I166" i="2" s="1"/>
  <c r="H130" i="2"/>
  <c r="I130" i="2" s="1"/>
  <c r="H58" i="2"/>
  <c r="I58" i="2" s="1"/>
  <c r="H398" i="2"/>
  <c r="I398" i="2" s="1"/>
  <c r="H163" i="2"/>
  <c r="H361" i="2"/>
  <c r="J361" i="2" s="1"/>
  <c r="H439" i="2"/>
  <c r="J439" i="2" s="1"/>
  <c r="H125" i="2"/>
  <c r="J125" i="2" s="1"/>
  <c r="J201" i="2"/>
  <c r="I408" i="2"/>
  <c r="H256" i="2"/>
  <c r="J256" i="2" s="1"/>
  <c r="H156" i="2"/>
  <c r="I156" i="2" s="1"/>
  <c r="H205" i="2"/>
  <c r="J205" i="2" s="1"/>
  <c r="H38" i="2"/>
  <c r="J38" i="2" s="1"/>
  <c r="H122" i="2"/>
  <c r="J122" i="2" s="1"/>
  <c r="H401" i="2"/>
  <c r="I401" i="2" s="1"/>
  <c r="H336" i="2"/>
  <c r="I336" i="2" s="1"/>
  <c r="H97" i="2"/>
  <c r="J97" i="2" s="1"/>
  <c r="H411" i="2"/>
  <c r="I411" i="2" s="1"/>
  <c r="H140" i="2"/>
  <c r="H373" i="2"/>
  <c r="J373" i="2" s="1"/>
  <c r="H301" i="2"/>
  <c r="J301" i="2" s="1"/>
  <c r="H400" i="2"/>
  <c r="I400" i="2" s="1"/>
  <c r="H240" i="2"/>
  <c r="I240" i="2" s="1"/>
  <c r="H75" i="2"/>
  <c r="J75" i="2" s="1"/>
  <c r="H355" i="2"/>
  <c r="J355" i="2" s="1"/>
  <c r="H306" i="2"/>
  <c r="I306" i="2" s="1"/>
  <c r="H63" i="2"/>
  <c r="J63" i="2" s="1"/>
  <c r="H338" i="2"/>
  <c r="J338" i="2" s="1"/>
  <c r="H307" i="2"/>
  <c r="J307" i="2" s="1"/>
  <c r="H360" i="2"/>
  <c r="I360" i="2" s="1"/>
  <c r="I379" i="2"/>
  <c r="K379" i="2" s="1"/>
  <c r="H44" i="2"/>
  <c r="J44" i="2" s="1"/>
  <c r="H381" i="2"/>
  <c r="I381" i="2" s="1"/>
  <c r="H64" i="2"/>
  <c r="I64" i="2" s="1"/>
  <c r="H327" i="2"/>
  <c r="I327" i="2" s="1"/>
  <c r="H298" i="2"/>
  <c r="J298" i="2" s="1"/>
  <c r="H293" i="2"/>
  <c r="J293" i="2" s="1"/>
  <c r="H49" i="2"/>
  <c r="J49" i="2" s="1"/>
  <c r="H297" i="2"/>
  <c r="I297" i="2" s="1"/>
  <c r="H282" i="2"/>
  <c r="I282" i="2" s="1"/>
  <c r="H348" i="2"/>
  <c r="I348" i="2" s="1"/>
  <c r="J280" i="2"/>
  <c r="K280" i="2" s="1"/>
  <c r="I321" i="2"/>
  <c r="K321" i="2" s="1"/>
  <c r="H313" i="2"/>
  <c r="I313" i="2" s="1"/>
  <c r="H168" i="2"/>
  <c r="I168" i="2" s="1"/>
  <c r="H76" i="2"/>
  <c r="J76" i="2" s="1"/>
  <c r="H276" i="2"/>
  <c r="J276" i="2" s="1"/>
  <c r="H274" i="2"/>
  <c r="I274" i="2" s="1"/>
  <c r="H420" i="2"/>
  <c r="I420" i="2" s="1"/>
  <c r="H425" i="2"/>
  <c r="J425" i="2" s="1"/>
  <c r="H390" i="2"/>
  <c r="J390" i="2" s="1"/>
  <c r="H212" i="2"/>
  <c r="I212" i="2" s="1"/>
  <c r="H105" i="2"/>
  <c r="I105" i="2" s="1"/>
  <c r="H54" i="2"/>
  <c r="I54" i="2" s="1"/>
  <c r="H383" i="2"/>
  <c r="J383" i="2" s="1"/>
  <c r="H405" i="2"/>
  <c r="J405" i="2" s="1"/>
  <c r="H86" i="2"/>
  <c r="J86" i="2" s="1"/>
  <c r="H249" i="2"/>
  <c r="I249" i="2" s="1"/>
  <c r="H294" i="2"/>
  <c r="I294" i="2" s="1"/>
  <c r="H377" i="2"/>
  <c r="J377" i="2" s="1"/>
  <c r="H367" i="2"/>
  <c r="J367" i="2" s="1"/>
  <c r="H257" i="2"/>
  <c r="J257" i="2" s="1"/>
  <c r="H161" i="2"/>
  <c r="J161" i="2" s="1"/>
  <c r="H227" i="2"/>
  <c r="I227" i="2" s="1"/>
  <c r="H289" i="2"/>
  <c r="J289" i="2" s="1"/>
  <c r="H323" i="2"/>
  <c r="J323" i="2" s="1"/>
  <c r="H222" i="2"/>
  <c r="H368" i="2"/>
  <c r="I368" i="2" s="1"/>
  <c r="H164" i="2"/>
  <c r="I164" i="2" s="1"/>
  <c r="H116" i="2"/>
  <c r="I116" i="2" s="1"/>
  <c r="H135" i="2"/>
  <c r="J135" i="2" s="1"/>
  <c r="H32" i="2"/>
  <c r="I32" i="2" s="1"/>
  <c r="J152" i="2"/>
  <c r="K152" i="2" s="1"/>
  <c r="H113" i="2"/>
  <c r="J113" i="2" s="1"/>
  <c r="H332" i="2"/>
  <c r="I332" i="2" s="1"/>
  <c r="H79" i="2"/>
  <c r="I79" i="2" s="1"/>
  <c r="H287" i="2"/>
  <c r="I287" i="2" s="1"/>
  <c r="H165" i="2"/>
  <c r="H242" i="2"/>
  <c r="I242" i="2" s="1"/>
  <c r="H370" i="2"/>
  <c r="I370" i="2" s="1"/>
  <c r="H187" i="2"/>
  <c r="J187" i="2" s="1"/>
  <c r="H208" i="2"/>
  <c r="J208" i="2" s="1"/>
  <c r="H342" i="2"/>
  <c r="J342" i="2" s="1"/>
  <c r="H93" i="2"/>
  <c r="J93" i="2" s="1"/>
  <c r="H24" i="2"/>
  <c r="I24" i="2" s="1"/>
  <c r="J288" i="2"/>
  <c r="I138" i="2"/>
  <c r="I275" i="2"/>
  <c r="K275" i="2" s="1"/>
  <c r="H42" i="2"/>
  <c r="J42" i="2" s="1"/>
  <c r="H131" i="2"/>
  <c r="I131" i="2" s="1"/>
  <c r="H159" i="2"/>
  <c r="H226" i="2"/>
  <c r="I226" i="2" s="1"/>
  <c r="H259" i="2"/>
  <c r="J259" i="2" s="1"/>
  <c r="H278" i="2"/>
  <c r="I278" i="2" s="1"/>
  <c r="H39" i="2"/>
  <c r="J39" i="2" s="1"/>
  <c r="H78" i="2"/>
  <c r="I78" i="2" s="1"/>
  <c r="H404" i="2"/>
  <c r="I404" i="2" s="1"/>
  <c r="H89" i="2"/>
  <c r="I89" i="2" s="1"/>
  <c r="H143" i="2"/>
  <c r="H419" i="2"/>
  <c r="I419" i="2" s="1"/>
  <c r="H216" i="2"/>
  <c r="I216" i="2" s="1"/>
  <c r="H184" i="2"/>
  <c r="J184" i="2" s="1"/>
  <c r="H45" i="2"/>
  <c r="H279" i="2"/>
  <c r="J279" i="2" s="1"/>
  <c r="H353" i="2"/>
  <c r="J353" i="2" s="1"/>
  <c r="H392" i="2"/>
  <c r="J392" i="2" s="1"/>
  <c r="J118" i="2"/>
  <c r="H33" i="2"/>
  <c r="J33" i="2" s="1"/>
  <c r="H124" i="2"/>
  <c r="J124" i="2" s="1"/>
  <c r="H438" i="2"/>
  <c r="I438" i="2" s="1"/>
  <c r="H319" i="2"/>
  <c r="J319" i="2" s="1"/>
  <c r="H403" i="2"/>
  <c r="J403" i="2" s="1"/>
  <c r="H194" i="2"/>
  <c r="J194" i="2" s="1"/>
  <c r="H133" i="2"/>
  <c r="J133" i="2" s="1"/>
  <c r="H169" i="2"/>
  <c r="J169" i="2" s="1"/>
  <c r="H37" i="2"/>
  <c r="I37" i="2" s="1"/>
  <c r="H434" i="2"/>
  <c r="J434" i="2" s="1"/>
  <c r="H176" i="2"/>
  <c r="I176" i="2" s="1"/>
  <c r="H374" i="2"/>
  <c r="J374" i="2" s="1"/>
  <c r="H80" i="2"/>
  <c r="H108" i="2"/>
  <c r="H107" i="2"/>
  <c r="I107" i="2" s="1"/>
  <c r="H119" i="2"/>
  <c r="I119" i="2" s="1"/>
  <c r="H47" i="2"/>
  <c r="J47" i="2" s="1"/>
  <c r="H375" i="2"/>
  <c r="I375" i="2" s="1"/>
  <c r="H337" i="2"/>
  <c r="I337" i="2" s="1"/>
  <c r="H428" i="2"/>
  <c r="J428" i="2" s="1"/>
  <c r="H114" i="2"/>
  <c r="J114" i="2" s="1"/>
  <c r="I69" i="2"/>
  <c r="K69" i="2" s="1"/>
  <c r="K513" i="2"/>
  <c r="K443" i="2"/>
  <c r="K470" i="2"/>
  <c r="K518" i="2"/>
  <c r="K460" i="2"/>
  <c r="K537" i="2"/>
  <c r="K549" i="2"/>
  <c r="K569" i="2"/>
  <c r="K442" i="2"/>
  <c r="K533" i="2"/>
  <c r="K609" i="2"/>
  <c r="K538" i="2"/>
  <c r="K508" i="2"/>
  <c r="K556" i="2"/>
  <c r="K610" i="2"/>
  <c r="K490" i="2"/>
  <c r="K532" i="2"/>
  <c r="K640" i="2"/>
  <c r="K501" i="2"/>
  <c r="K622" i="2"/>
  <c r="K454" i="2"/>
  <c r="K515" i="2"/>
  <c r="K647" i="2"/>
  <c r="K406" i="2"/>
  <c r="K534" i="2"/>
  <c r="K450" i="2"/>
  <c r="K467" i="2"/>
  <c r="K659" i="2"/>
  <c r="K582" i="2"/>
  <c r="K618" i="2"/>
  <c r="K587" i="2"/>
  <c r="K612" i="2"/>
  <c r="K611" i="2"/>
  <c r="K527" i="2"/>
  <c r="K588" i="2"/>
  <c r="K623" i="2"/>
  <c r="K479" i="2"/>
  <c r="K551" i="2"/>
  <c r="K539" i="2"/>
  <c r="K663" i="2"/>
  <c r="K624" i="2"/>
  <c r="K564" i="2"/>
  <c r="K228" i="2"/>
  <c r="K456" i="2"/>
  <c r="K639" i="2"/>
  <c r="K516" i="2"/>
  <c r="K660" i="2"/>
  <c r="K519" i="2"/>
  <c r="K468" i="2"/>
  <c r="K579" i="2"/>
  <c r="K531" i="2"/>
  <c r="K485" i="2"/>
  <c r="K495" i="2"/>
  <c r="K477" i="2"/>
  <c r="K573" i="2"/>
  <c r="K448" i="2"/>
  <c r="K561" i="2"/>
  <c r="K503" i="2"/>
  <c r="K525" i="2"/>
  <c r="K585" i="2"/>
  <c r="K654" i="2"/>
  <c r="K491" i="2"/>
  <c r="K658" i="2"/>
  <c r="K528" i="2"/>
  <c r="K543" i="2"/>
  <c r="K575" i="2"/>
  <c r="K545" i="2"/>
  <c r="K461" i="2"/>
  <c r="K474" i="2"/>
  <c r="K509" i="2"/>
  <c r="K597" i="2"/>
  <c r="K615" i="2"/>
  <c r="K444" i="2"/>
  <c r="K484" i="2"/>
  <c r="K665" i="2"/>
  <c r="K459" i="2"/>
  <c r="K550" i="2"/>
  <c r="K555" i="2"/>
  <c r="K645" i="2"/>
  <c r="K557" i="2"/>
  <c r="K440" i="2"/>
  <c r="K552" i="2"/>
  <c r="K446" i="2"/>
  <c r="K488" i="2"/>
  <c r="K591" i="2"/>
  <c r="K453" i="2"/>
  <c r="K603" i="2"/>
  <c r="K536" i="2"/>
  <c r="K464" i="2"/>
  <c r="K648" i="2"/>
  <c r="K594" i="2"/>
  <c r="K494" i="2"/>
  <c r="K506" i="2"/>
  <c r="K486" i="2"/>
  <c r="K621" i="2"/>
  <c r="K87" i="2"/>
  <c r="K483" i="2"/>
  <c r="K476" i="2"/>
  <c r="K462" i="2"/>
  <c r="K630" i="2"/>
  <c r="K504" i="2"/>
  <c r="I14" i="2" l="1"/>
  <c r="K14" i="2" s="1"/>
  <c r="H4" i="2"/>
  <c r="K586" i="2"/>
  <c r="K544" i="2"/>
  <c r="K567" i="2"/>
  <c r="K641" i="2"/>
  <c r="K26" i="2"/>
  <c r="K666" i="2"/>
  <c r="K676" i="2"/>
  <c r="K628" i="2"/>
  <c r="K570" i="2"/>
  <c r="K558" i="2"/>
  <c r="K542" i="2"/>
  <c r="K627" i="2"/>
  <c r="K471" i="2"/>
  <c r="K447" i="2"/>
  <c r="K576" i="2"/>
  <c r="K530" i="2"/>
  <c r="K510" i="2"/>
  <c r="K472" i="2"/>
  <c r="K466" i="2"/>
  <c r="K480" i="2"/>
  <c r="K452" i="2"/>
  <c r="K512" i="2"/>
  <c r="K507" i="2"/>
  <c r="K465" i="2"/>
  <c r="K449" i="2"/>
  <c r="K441" i="2"/>
  <c r="K600" i="2"/>
  <c r="K526" i="2"/>
  <c r="K606" i="2"/>
  <c r="K522" i="2"/>
  <c r="K521" i="2"/>
  <c r="K520" i="2"/>
  <c r="K502" i="2"/>
  <c r="K489" i="2"/>
  <c r="K478" i="2"/>
  <c r="K458" i="2"/>
  <c r="K677" i="2"/>
  <c r="I239" i="2"/>
  <c r="J239" i="2"/>
  <c r="K657" i="2"/>
  <c r="K669" i="2"/>
  <c r="J235" i="2"/>
  <c r="I235" i="2"/>
  <c r="K261" i="2"/>
  <c r="I675" i="2"/>
  <c r="J675" i="2"/>
  <c r="I683" i="2"/>
  <c r="J683" i="2"/>
  <c r="F584" i="2"/>
  <c r="G578" i="2"/>
  <c r="H578" i="2" s="1"/>
  <c r="J566" i="2"/>
  <c r="I566" i="2"/>
  <c r="I445" i="2"/>
  <c r="J445" i="2"/>
  <c r="F457" i="2"/>
  <c r="K223" i="2"/>
  <c r="J421" i="2"/>
  <c r="I421" i="2"/>
  <c r="G457" i="2"/>
  <c r="I451" i="2"/>
  <c r="J451" i="2"/>
  <c r="J672" i="2"/>
  <c r="I672" i="2"/>
  <c r="K672" i="2" s="1"/>
  <c r="G678" i="2"/>
  <c r="H678" i="2" s="1"/>
  <c r="F684" i="2"/>
  <c r="G681" i="2"/>
  <c r="H681" i="2" s="1"/>
  <c r="F687" i="2"/>
  <c r="I694" i="2"/>
  <c r="J694" i="2"/>
  <c r="G712" i="2"/>
  <c r="H712" i="2" s="1"/>
  <c r="F730" i="2"/>
  <c r="G695" i="2"/>
  <c r="H695" i="2" s="1"/>
  <c r="F701" i="2"/>
  <c r="H562" i="2"/>
  <c r="J554" i="2"/>
  <c r="I554" i="2"/>
  <c r="K554" i="2" s="1"/>
  <c r="G563" i="2"/>
  <c r="F572" i="2"/>
  <c r="F580" i="2"/>
  <c r="G646" i="2"/>
  <c r="H646" i="2" s="1"/>
  <c r="F748" i="2"/>
  <c r="I177" i="2"/>
  <c r="J177" i="2"/>
  <c r="J229" i="2"/>
  <c r="I229" i="2"/>
  <c r="K229" i="2" s="1"/>
  <c r="J70" i="2"/>
  <c r="I70" i="2"/>
  <c r="I66" i="2"/>
  <c r="J66" i="2"/>
  <c r="I339" i="2"/>
  <c r="J339" i="2"/>
  <c r="I222" i="2"/>
  <c r="J222" i="2"/>
  <c r="K222" i="2" s="1"/>
  <c r="K238" i="2"/>
  <c r="K292" i="2"/>
  <c r="J230" i="2"/>
  <c r="I230" i="2"/>
  <c r="J96" i="2"/>
  <c r="I96" i="2"/>
  <c r="K96" i="2" s="1"/>
  <c r="I101" i="2"/>
  <c r="J101" i="2"/>
  <c r="J163" i="2"/>
  <c r="I163" i="2"/>
  <c r="J143" i="2"/>
  <c r="I143" i="2"/>
  <c r="J18" i="2"/>
  <c r="K18" i="2" s="1"/>
  <c r="J78" i="2"/>
  <c r="K78" i="2" s="1"/>
  <c r="J179" i="2"/>
  <c r="K179" i="2" s="1"/>
  <c r="I325" i="2"/>
  <c r="K325" i="2" s="1"/>
  <c r="J43" i="2"/>
  <c r="K43" i="2" s="1"/>
  <c r="K88" i="2"/>
  <c r="J365" i="2"/>
  <c r="K365" i="2" s="1"/>
  <c r="J218" i="2"/>
  <c r="K218" i="2" s="1"/>
  <c r="I113" i="2"/>
  <c r="K113" i="2" s="1"/>
  <c r="J200" i="2"/>
  <c r="K200" i="2" s="1"/>
  <c r="I195" i="2"/>
  <c r="K195" i="2" s="1"/>
  <c r="I232" i="2"/>
  <c r="K232" i="2" s="1"/>
  <c r="K73" i="2"/>
  <c r="K263" i="2"/>
  <c r="K71" i="2"/>
  <c r="K134" i="2"/>
  <c r="K16" i="2"/>
  <c r="J333" i="2"/>
  <c r="K333" i="2" s="1"/>
  <c r="K269" i="2"/>
  <c r="J337" i="2"/>
  <c r="K337" i="2" s="1"/>
  <c r="I208" i="2"/>
  <c r="K208" i="2" s="1"/>
  <c r="J32" i="2"/>
  <c r="K32" i="2" s="1"/>
  <c r="I46" i="2"/>
  <c r="K46" i="2" s="1"/>
  <c r="J13" i="2"/>
  <c r="K372" i="2"/>
  <c r="K236" i="2"/>
  <c r="K201" i="2"/>
  <c r="J212" i="2"/>
  <c r="K212" i="2" s="1"/>
  <c r="I125" i="2"/>
  <c r="K125" i="2" s="1"/>
  <c r="J72" i="2"/>
  <c r="K72" i="2" s="1"/>
  <c r="K15" i="2"/>
  <c r="J336" i="2"/>
  <c r="K336" i="2" s="1"/>
  <c r="I384" i="2"/>
  <c r="K384" i="2" s="1"/>
  <c r="J55" i="2"/>
  <c r="K55" i="2" s="1"/>
  <c r="I209" i="2"/>
  <c r="K209" i="2" s="1"/>
  <c r="J240" i="2"/>
  <c r="K240" i="2" s="1"/>
  <c r="J115" i="2"/>
  <c r="K115" i="2" s="1"/>
  <c r="K121" i="2"/>
  <c r="J327" i="2"/>
  <c r="K327" i="2" s="1"/>
  <c r="J401" i="2"/>
  <c r="K401" i="2" s="1"/>
  <c r="J343" i="2"/>
  <c r="K343" i="2" s="1"/>
  <c r="I436" i="2"/>
  <c r="K436" i="2" s="1"/>
  <c r="K290" i="2"/>
  <c r="I434" i="2"/>
  <c r="K434" i="2" s="1"/>
  <c r="I198" i="2"/>
  <c r="K198" i="2" s="1"/>
  <c r="J330" i="2"/>
  <c r="K330" i="2" s="1"/>
  <c r="K67" i="2"/>
  <c r="J227" i="2"/>
  <c r="K227" i="2" s="1"/>
  <c r="J437" i="2"/>
  <c r="K437" i="2" s="1"/>
  <c r="K431" i="2"/>
  <c r="J303" i="2"/>
  <c r="K303" i="2" s="1"/>
  <c r="J105" i="2"/>
  <c r="K105" i="2" s="1"/>
  <c r="J62" i="2"/>
  <c r="K62" i="2" s="1"/>
  <c r="I334" i="2"/>
  <c r="K334" i="2" s="1"/>
  <c r="K432" i="2"/>
  <c r="I112" i="2"/>
  <c r="K112" i="2" s="1"/>
  <c r="K310" i="2"/>
  <c r="I203" i="2"/>
  <c r="K203" i="2" s="1"/>
  <c r="J254" i="2"/>
  <c r="K254" i="2" s="1"/>
  <c r="K181" i="2"/>
  <c r="J131" i="2"/>
  <c r="K131" i="2" s="1"/>
  <c r="I367" i="2"/>
  <c r="K367" i="2" s="1"/>
  <c r="K277" i="2"/>
  <c r="I395" i="2"/>
  <c r="K395" i="2" s="1"/>
  <c r="I295" i="2"/>
  <c r="K295" i="2" s="1"/>
  <c r="I351" i="2"/>
  <c r="K351" i="2" s="1"/>
  <c r="I146" i="2"/>
  <c r="K146" i="2" s="1"/>
  <c r="J154" i="2"/>
  <c r="K154" i="2" s="1"/>
  <c r="I185" i="2"/>
  <c r="K185" i="2" s="1"/>
  <c r="J297" i="2"/>
  <c r="K297" i="2" s="1"/>
  <c r="J130" i="2"/>
  <c r="K130" i="2" s="1"/>
  <c r="I182" i="2"/>
  <c r="K182" i="2" s="1"/>
  <c r="J92" i="2"/>
  <c r="K92" i="2" s="1"/>
  <c r="K345" i="2"/>
  <c r="I196" i="2"/>
  <c r="K196" i="2" s="1"/>
  <c r="J404" i="2"/>
  <c r="K404" i="2" s="1"/>
  <c r="J411" i="2"/>
  <c r="K411" i="2" s="1"/>
  <c r="I248" i="2"/>
  <c r="K248" i="2" s="1"/>
  <c r="I251" i="2"/>
  <c r="K251" i="2" s="1"/>
  <c r="J394" i="2"/>
  <c r="K394" i="2" s="1"/>
  <c r="K40" i="2"/>
  <c r="I425" i="2"/>
  <c r="K425" i="2" s="1"/>
  <c r="J360" i="2"/>
  <c r="K360" i="2" s="1"/>
  <c r="I22" i="2"/>
  <c r="K22" i="2" s="1"/>
  <c r="I252" i="2"/>
  <c r="K252" i="2" s="1"/>
  <c r="J326" i="2"/>
  <c r="K326" i="2" s="1"/>
  <c r="J234" i="2"/>
  <c r="I245" i="2"/>
  <c r="K245" i="2" s="1"/>
  <c r="I202" i="2"/>
  <c r="K202" i="2" s="1"/>
  <c r="J119" i="2"/>
  <c r="K119" i="2" s="1"/>
  <c r="I342" i="2"/>
  <c r="K342" i="2" s="1"/>
  <c r="I323" i="2"/>
  <c r="K323" i="2" s="1"/>
  <c r="J140" i="2"/>
  <c r="J58" i="2"/>
  <c r="K58" i="2" s="1"/>
  <c r="I391" i="2"/>
  <c r="K391" i="2" s="1"/>
  <c r="J183" i="2"/>
  <c r="K183" i="2" s="1"/>
  <c r="J127" i="2"/>
  <c r="K127" i="2" s="1"/>
  <c r="I340" i="2"/>
  <c r="K340" i="2" s="1"/>
  <c r="I358" i="2"/>
  <c r="K358" i="2" s="1"/>
  <c r="I23" i="2"/>
  <c r="K23" i="2" s="1"/>
  <c r="I47" i="2"/>
  <c r="K47" i="2" s="1"/>
  <c r="I187" i="2"/>
  <c r="K187" i="2" s="1"/>
  <c r="I308" i="2"/>
  <c r="K308" i="2" s="1"/>
  <c r="J393" i="2"/>
  <c r="K393" i="2" s="1"/>
  <c r="I141" i="2"/>
  <c r="K141" i="2" s="1"/>
  <c r="I266" i="2"/>
  <c r="K266" i="2" s="1"/>
  <c r="I284" i="2"/>
  <c r="K284" i="2" s="1"/>
  <c r="J145" i="2"/>
  <c r="K145" i="2" s="1"/>
  <c r="J45" i="2"/>
  <c r="J25" i="2"/>
  <c r="K25" i="2" s="1"/>
  <c r="I194" i="2"/>
  <c r="K194" i="2" s="1"/>
  <c r="I45" i="2"/>
  <c r="J242" i="2"/>
  <c r="K242" i="2" s="1"/>
  <c r="J306" i="2"/>
  <c r="K306" i="2" s="1"/>
  <c r="J156" i="2"/>
  <c r="K156" i="2" s="1"/>
  <c r="I286" i="2"/>
  <c r="K286" i="2" s="1"/>
  <c r="J267" i="2"/>
  <c r="K267" i="2" s="1"/>
  <c r="J186" i="2"/>
  <c r="K186" i="2" s="1"/>
  <c r="J24" i="2"/>
  <c r="K24" i="2" s="1"/>
  <c r="I257" i="2"/>
  <c r="K257" i="2" s="1"/>
  <c r="I188" i="2"/>
  <c r="K188" i="2" s="1"/>
  <c r="J265" i="2"/>
  <c r="K265" i="2" s="1"/>
  <c r="J197" i="2"/>
  <c r="K197" i="2" s="1"/>
  <c r="J225" i="2"/>
  <c r="K225" i="2" s="1"/>
  <c r="J80" i="2"/>
  <c r="J216" i="2"/>
  <c r="K216" i="2" s="1"/>
  <c r="I75" i="2"/>
  <c r="K75" i="2" s="1"/>
  <c r="J366" i="2"/>
  <c r="K366" i="2" s="1"/>
  <c r="I234" i="2"/>
  <c r="I33" i="2"/>
  <c r="K33" i="2" s="1"/>
  <c r="J419" i="2"/>
  <c r="K419" i="2" s="1"/>
  <c r="J368" i="2"/>
  <c r="K368" i="2" s="1"/>
  <c r="I276" i="2"/>
  <c r="K276" i="2" s="1"/>
  <c r="I293" i="2"/>
  <c r="K293" i="2" s="1"/>
  <c r="I122" i="2"/>
  <c r="K122" i="2" s="1"/>
  <c r="I204" i="2"/>
  <c r="K204" i="2" s="1"/>
  <c r="I136" i="2"/>
  <c r="K136" i="2" s="1"/>
  <c r="J258" i="2"/>
  <c r="K258" i="2" s="1"/>
  <c r="J224" i="2"/>
  <c r="K224" i="2" s="1"/>
  <c r="J90" i="2"/>
  <c r="K90" i="2" s="1"/>
  <c r="I83" i="2"/>
  <c r="K83" i="2" s="1"/>
  <c r="J176" i="2"/>
  <c r="K176" i="2" s="1"/>
  <c r="I167" i="2"/>
  <c r="K167" i="2" s="1"/>
  <c r="J375" i="2"/>
  <c r="K375" i="2" s="1"/>
  <c r="J287" i="2"/>
  <c r="K287" i="2" s="1"/>
  <c r="J54" i="2"/>
  <c r="K54" i="2" s="1"/>
  <c r="I307" i="2"/>
  <c r="K307" i="2" s="1"/>
  <c r="J400" i="2"/>
  <c r="K400" i="2" s="1"/>
  <c r="J166" i="2"/>
  <c r="K166" i="2" s="1"/>
  <c r="I155" i="2"/>
  <c r="K155" i="2" s="1"/>
  <c r="J316" i="2"/>
  <c r="K316" i="2" s="1"/>
  <c r="I28" i="2"/>
  <c r="K28" i="2" s="1"/>
  <c r="I17" i="2"/>
  <c r="K17" i="2" s="1"/>
  <c r="I76" i="2"/>
  <c r="K76" i="2" s="1"/>
  <c r="I135" i="2"/>
  <c r="K135" i="2" s="1"/>
  <c r="I301" i="2"/>
  <c r="K301" i="2" s="1"/>
  <c r="I221" i="2"/>
  <c r="K221" i="2" s="1"/>
  <c r="I98" i="2"/>
  <c r="K98" i="2" s="1"/>
  <c r="J283" i="2"/>
  <c r="K283" i="2" s="1"/>
  <c r="I191" i="2"/>
  <c r="K191" i="2" s="1"/>
  <c r="I82" i="2"/>
  <c r="K82" i="2" s="1"/>
  <c r="I27" i="2"/>
  <c r="K27" i="2" s="1"/>
  <c r="J144" i="2"/>
  <c r="K144" i="2" s="1"/>
  <c r="I133" i="2"/>
  <c r="K133" i="2" s="1"/>
  <c r="J159" i="2"/>
  <c r="I30" i="2"/>
  <c r="K30" i="2" s="1"/>
  <c r="J35" i="2"/>
  <c r="K35" i="2" s="1"/>
  <c r="J262" i="2"/>
  <c r="K262" i="2" s="1"/>
  <c r="J385" i="2"/>
  <c r="K385" i="2" s="1"/>
  <c r="I354" i="2"/>
  <c r="K354" i="2" s="1"/>
  <c r="I114" i="2"/>
  <c r="K114" i="2" s="1"/>
  <c r="I80" i="2"/>
  <c r="I159" i="2"/>
  <c r="J79" i="2"/>
  <c r="K79" i="2" s="1"/>
  <c r="J164" i="2"/>
  <c r="K164" i="2" s="1"/>
  <c r="I383" i="2"/>
  <c r="K383" i="2" s="1"/>
  <c r="J420" i="2"/>
  <c r="K420" i="2" s="1"/>
  <c r="J348" i="2"/>
  <c r="K348" i="2" s="1"/>
  <c r="I140" i="2"/>
  <c r="J178" i="2"/>
  <c r="K178" i="2" s="1"/>
  <c r="J189" i="2"/>
  <c r="K189" i="2" s="1"/>
  <c r="J150" i="2"/>
  <c r="K150" i="2" s="1"/>
  <c r="J53" i="2"/>
  <c r="K53" i="2" s="1"/>
  <c r="I231" i="2"/>
  <c r="K231" i="2" s="1"/>
  <c r="I335" i="2"/>
  <c r="K335" i="2" s="1"/>
  <c r="I341" i="2"/>
  <c r="K341" i="2" s="1"/>
  <c r="I44" i="2"/>
  <c r="K44" i="2" s="1"/>
  <c r="I93" i="2"/>
  <c r="K93" i="2" s="1"/>
  <c r="I117" i="2"/>
  <c r="K117" i="2" s="1"/>
  <c r="I353" i="2"/>
  <c r="K353" i="2" s="1"/>
  <c r="J278" i="2"/>
  <c r="K278" i="2" s="1"/>
  <c r="J249" i="2"/>
  <c r="K249" i="2" s="1"/>
  <c r="J64" i="2"/>
  <c r="K64" i="2" s="1"/>
  <c r="I338" i="2"/>
  <c r="K338" i="2" s="1"/>
  <c r="J132" i="2"/>
  <c r="K132" i="2" s="1"/>
  <c r="J215" i="2"/>
  <c r="K215" i="2" s="1"/>
  <c r="J56" i="2"/>
  <c r="K56" i="2" s="1"/>
  <c r="J418" i="2"/>
  <c r="K418" i="2" s="1"/>
  <c r="I48" i="2"/>
  <c r="K48" i="2" s="1"/>
  <c r="J388" i="2"/>
  <c r="K388" i="2" s="1"/>
  <c r="J427" i="2"/>
  <c r="K427" i="2" s="1"/>
  <c r="I396" i="2"/>
  <c r="K396" i="2" s="1"/>
  <c r="I407" i="2"/>
  <c r="K407" i="2" s="1"/>
  <c r="J412" i="2"/>
  <c r="K412" i="2" s="1"/>
  <c r="I169" i="2"/>
  <c r="K169" i="2" s="1"/>
  <c r="I347" i="2"/>
  <c r="K347" i="2" s="1"/>
  <c r="I298" i="2"/>
  <c r="K298" i="2" s="1"/>
  <c r="J402" i="2"/>
  <c r="K402" i="2" s="1"/>
  <c r="J304" i="2"/>
  <c r="K304" i="2" s="1"/>
  <c r="I329" i="2"/>
  <c r="K329" i="2" s="1"/>
  <c r="I39" i="2"/>
  <c r="K39" i="2" s="1"/>
  <c r="J37" i="2"/>
  <c r="K37" i="2" s="1"/>
  <c r="I403" i="2"/>
  <c r="K403" i="2" s="1"/>
  <c r="I279" i="2"/>
  <c r="K279" i="2" s="1"/>
  <c r="I259" i="2"/>
  <c r="K259" i="2" s="1"/>
  <c r="J332" i="2"/>
  <c r="K332" i="2" s="1"/>
  <c r="I86" i="2"/>
  <c r="K86" i="2" s="1"/>
  <c r="I49" i="2"/>
  <c r="K49" i="2" s="1"/>
  <c r="J381" i="2"/>
  <c r="K381" i="2" s="1"/>
  <c r="I63" i="2"/>
  <c r="K63" i="2" s="1"/>
  <c r="I256" i="2"/>
  <c r="K256" i="2" s="1"/>
  <c r="I120" i="2"/>
  <c r="K120" i="2" s="1"/>
  <c r="J314" i="2"/>
  <c r="K314" i="2" s="1"/>
  <c r="J126" i="2"/>
  <c r="K126" i="2" s="1"/>
  <c r="J19" i="2"/>
  <c r="K19" i="2" s="1"/>
  <c r="J362" i="2"/>
  <c r="K362" i="2" s="1"/>
  <c r="I213" i="2"/>
  <c r="K213" i="2" s="1"/>
  <c r="I104" i="2"/>
  <c r="I158" i="2"/>
  <c r="K158" i="2" s="1"/>
  <c r="J162" i="2"/>
  <c r="K162" i="2" s="1"/>
  <c r="I363" i="2"/>
  <c r="K363" i="2" s="1"/>
  <c r="J438" i="2"/>
  <c r="K438" i="2" s="1"/>
  <c r="J409" i="2"/>
  <c r="K409" i="2" s="1"/>
  <c r="I428" i="2"/>
  <c r="K428" i="2" s="1"/>
  <c r="J89" i="2"/>
  <c r="K89" i="2" s="1"/>
  <c r="I161" i="2"/>
  <c r="K161" i="2" s="1"/>
  <c r="J168" i="2"/>
  <c r="K168" i="2" s="1"/>
  <c r="J398" i="2"/>
  <c r="K398" i="2" s="1"/>
  <c r="J430" i="2"/>
  <c r="K430" i="2" s="1"/>
  <c r="J417" i="2"/>
  <c r="K417" i="2" s="1"/>
  <c r="I317" i="2"/>
  <c r="K317" i="2" s="1"/>
  <c r="J104" i="2"/>
  <c r="I356" i="2"/>
  <c r="K356" i="2" s="1"/>
  <c r="J294" i="2"/>
  <c r="K294" i="2" s="1"/>
  <c r="J172" i="2"/>
  <c r="K172" i="2" s="1"/>
  <c r="I355" i="2"/>
  <c r="K355" i="2" s="1"/>
  <c r="I324" i="2"/>
  <c r="K324" i="2" s="1"/>
  <c r="J34" i="2"/>
  <c r="K34" i="2" s="1"/>
  <c r="J247" i="2"/>
  <c r="K247" i="2" s="1"/>
  <c r="I124" i="2"/>
  <c r="K124" i="2" s="1"/>
  <c r="I42" i="2"/>
  <c r="K42" i="2" s="1"/>
  <c r="J165" i="2"/>
  <c r="I207" i="2"/>
  <c r="K207" i="2" s="1"/>
  <c r="J21" i="2"/>
  <c r="K21" i="2" s="1"/>
  <c r="I359" i="2"/>
  <c r="K359" i="2" s="1"/>
  <c r="I386" i="2"/>
  <c r="K386" i="2" s="1"/>
  <c r="I373" i="2"/>
  <c r="K373" i="2" s="1"/>
  <c r="I160" i="2"/>
  <c r="K160" i="2" s="1"/>
  <c r="I312" i="2"/>
  <c r="K312" i="2" s="1"/>
  <c r="J84" i="2"/>
  <c r="K84" i="2" s="1"/>
  <c r="I108" i="2"/>
  <c r="I184" i="2"/>
  <c r="K184" i="2" s="1"/>
  <c r="I361" i="2"/>
  <c r="K361" i="2" s="1"/>
  <c r="I139" i="2"/>
  <c r="K139" i="2" s="1"/>
  <c r="J273" i="2"/>
  <c r="K273" i="2" s="1"/>
  <c r="J370" i="2"/>
  <c r="K370" i="2" s="1"/>
  <c r="I241" i="2"/>
  <c r="K241" i="2" s="1"/>
  <c r="J410" i="2"/>
  <c r="K410" i="2" s="1"/>
  <c r="J380" i="2"/>
  <c r="K380" i="2" s="1"/>
  <c r="I319" i="2"/>
  <c r="K319" i="2" s="1"/>
  <c r="J116" i="2"/>
  <c r="K116" i="2" s="1"/>
  <c r="I289" i="2"/>
  <c r="K289" i="2" s="1"/>
  <c r="I377" i="2"/>
  <c r="K377" i="2" s="1"/>
  <c r="I405" i="2"/>
  <c r="K405" i="2" s="1"/>
  <c r="I390" i="2"/>
  <c r="K390" i="2" s="1"/>
  <c r="I38" i="2"/>
  <c r="K38" i="2" s="1"/>
  <c r="J36" i="2"/>
  <c r="K36" i="2" s="1"/>
  <c r="J20" i="2"/>
  <c r="K20" i="2" s="1"/>
  <c r="I414" i="2"/>
  <c r="K414" i="2" s="1"/>
  <c r="J170" i="2"/>
  <c r="K170" i="2" s="1"/>
  <c r="I57" i="2"/>
  <c r="K57" i="2" s="1"/>
  <c r="I171" i="2"/>
  <c r="K171" i="2" s="1"/>
  <c r="I193" i="2"/>
  <c r="K193" i="2" s="1"/>
  <c r="J29" i="2"/>
  <c r="K29" i="2" s="1"/>
  <c r="J255" i="2"/>
  <c r="K255" i="2" s="1"/>
  <c r="J282" i="2"/>
  <c r="K282" i="2" s="1"/>
  <c r="I97" i="2"/>
  <c r="K97" i="2" s="1"/>
  <c r="I350" i="2"/>
  <c r="K350" i="2" s="1"/>
  <c r="I205" i="2"/>
  <c r="K205" i="2" s="1"/>
  <c r="I153" i="2"/>
  <c r="K153" i="2" s="1"/>
  <c r="J107" i="2"/>
  <c r="K107" i="2" s="1"/>
  <c r="I165" i="2"/>
  <c r="I439" i="2"/>
  <c r="K439" i="2" s="1"/>
  <c r="J313" i="2"/>
  <c r="K313" i="2" s="1"/>
  <c r="J397" i="2"/>
  <c r="J108" i="2"/>
  <c r="J226" i="2"/>
  <c r="K226" i="2" s="1"/>
  <c r="J274" i="2"/>
  <c r="K274" i="2" s="1"/>
  <c r="J299" i="2"/>
  <c r="K299" i="2" s="1"/>
  <c r="I268" i="2"/>
  <c r="K268" i="2" s="1"/>
  <c r="I397" i="2"/>
  <c r="I392" i="2"/>
  <c r="K392" i="2" s="1"/>
  <c r="J99" i="2"/>
  <c r="K99" i="2" s="1"/>
  <c r="I374" i="2"/>
  <c r="K374" i="2" s="1"/>
  <c r="I123" i="2"/>
  <c r="K123" i="2" s="1"/>
  <c r="I211" i="2"/>
  <c r="K211" i="2" s="1"/>
  <c r="I300" i="2"/>
  <c r="K300" i="2" s="1"/>
  <c r="J369" i="2"/>
  <c r="K369" i="2" s="1"/>
  <c r="I13" i="2"/>
  <c r="K318" i="2"/>
  <c r="K433" i="2"/>
  <c r="K423" i="2"/>
  <c r="K415" i="2"/>
  <c r="K435" i="2"/>
  <c r="K349" i="2"/>
  <c r="K180" i="2"/>
  <c r="K118" i="2"/>
  <c r="K305" i="2"/>
  <c r="K244" i="2"/>
  <c r="K74" i="2"/>
  <c r="K260" i="2"/>
  <c r="K220" i="2"/>
  <c r="K60" i="2"/>
  <c r="K331" i="2"/>
  <c r="K50" i="2"/>
  <c r="K128" i="2"/>
  <c r="K31" i="2"/>
  <c r="K264" i="2"/>
  <c r="K302" i="2"/>
  <c r="K210" i="2"/>
  <c r="K426" i="2"/>
  <c r="K149" i="2"/>
  <c r="K192" i="2"/>
  <c r="K214" i="2"/>
  <c r="K173" i="2"/>
  <c r="K429" i="2"/>
  <c r="K281" i="2"/>
  <c r="K291" i="2"/>
  <c r="K253" i="2"/>
  <c r="K320" i="2"/>
  <c r="K413" i="2"/>
  <c r="K288" i="2"/>
  <c r="K190" i="2"/>
  <c r="K102" i="2"/>
  <c r="K110" i="2"/>
  <c r="K219" i="2"/>
  <c r="K424" i="2"/>
  <c r="K408" i="2"/>
  <c r="K106" i="2"/>
  <c r="K157" i="2"/>
  <c r="K389" i="2"/>
  <c r="K346" i="2"/>
  <c r="K174" i="2"/>
  <c r="K138" i="2"/>
  <c r="K129" i="2"/>
  <c r="K352" i="2"/>
  <c r="K137" i="2"/>
  <c r="K364" i="2"/>
  <c r="K111" i="2"/>
  <c r="K101" i="2" l="1"/>
  <c r="I4" i="2"/>
  <c r="K7" i="2" s="1"/>
  <c r="K339" i="2"/>
  <c r="K235" i="2"/>
  <c r="K566" i="2"/>
  <c r="K239" i="2"/>
  <c r="K230" i="2"/>
  <c r="K445" i="2"/>
  <c r="J562" i="2"/>
  <c r="I562" i="2"/>
  <c r="K70" i="2"/>
  <c r="K675" i="2"/>
  <c r="K683" i="2"/>
  <c r="K562" i="2"/>
  <c r="F596" i="2"/>
  <c r="G584" i="2"/>
  <c r="H584" i="2" s="1"/>
  <c r="I578" i="2"/>
  <c r="J578" i="2"/>
  <c r="K421" i="2"/>
  <c r="F463" i="2"/>
  <c r="G463" i="2" s="1"/>
  <c r="K163" i="2"/>
  <c r="H457" i="2"/>
  <c r="I457" i="2" s="1"/>
  <c r="K451" i="2"/>
  <c r="G684" i="2"/>
  <c r="H684" i="2" s="1"/>
  <c r="F690" i="2"/>
  <c r="G687" i="2"/>
  <c r="H687" i="2" s="1"/>
  <c r="F693" i="2"/>
  <c r="G730" i="2"/>
  <c r="H730" i="2" s="1"/>
  <c r="G701" i="2"/>
  <c r="H701" i="2" s="1"/>
  <c r="F713" i="2"/>
  <c r="K694" i="2"/>
  <c r="J678" i="2"/>
  <c r="I678" i="2"/>
  <c r="I681" i="2"/>
  <c r="J681" i="2"/>
  <c r="J712" i="2"/>
  <c r="I712" i="2"/>
  <c r="J695" i="2"/>
  <c r="I695" i="2"/>
  <c r="K177" i="2"/>
  <c r="K45" i="2"/>
  <c r="H563" i="2"/>
  <c r="G572" i="2"/>
  <c r="H572" i="2" s="1"/>
  <c r="F581" i="2"/>
  <c r="G580" i="2"/>
  <c r="H580" i="2" s="1"/>
  <c r="F664" i="2"/>
  <c r="G748" i="2"/>
  <c r="H748" i="2" s="1"/>
  <c r="K143" i="2"/>
  <c r="I646" i="2"/>
  <c r="J646" i="2"/>
  <c r="K66" i="2"/>
  <c r="K80" i="2"/>
  <c r="K140" i="2"/>
  <c r="K13" i="2"/>
  <c r="K104" i="2"/>
  <c r="K234" i="2"/>
  <c r="K159" i="2"/>
  <c r="K108" i="2"/>
  <c r="K165" i="2"/>
  <c r="K397" i="2"/>
  <c r="K68" i="2"/>
  <c r="K712" i="2" l="1"/>
  <c r="K678" i="2"/>
  <c r="K695" i="2"/>
  <c r="K681" i="2"/>
  <c r="K578" i="2"/>
  <c r="F602" i="2"/>
  <c r="G596" i="2"/>
  <c r="H596" i="2" s="1"/>
  <c r="J584" i="2"/>
  <c r="I584" i="2"/>
  <c r="F469" i="2"/>
  <c r="G469" i="2" s="1"/>
  <c r="H463" i="2"/>
  <c r="J457" i="2"/>
  <c r="K457" i="2" s="1"/>
  <c r="G690" i="2"/>
  <c r="H690" i="2" s="1"/>
  <c r="F696" i="2"/>
  <c r="G693" i="2"/>
  <c r="H693" i="2" s="1"/>
  <c r="F699" i="2"/>
  <c r="I730" i="2"/>
  <c r="J730" i="2"/>
  <c r="G713" i="2"/>
  <c r="H713" i="2" s="1"/>
  <c r="F719" i="2"/>
  <c r="I748" i="2"/>
  <c r="I684" i="2"/>
  <c r="J684" i="2"/>
  <c r="I687" i="2"/>
  <c r="J687" i="2"/>
  <c r="J701" i="2"/>
  <c r="I701" i="2"/>
  <c r="I563" i="2"/>
  <c r="J563" i="2"/>
  <c r="F590" i="2"/>
  <c r="G581" i="2"/>
  <c r="H581" i="2" s="1"/>
  <c r="F598" i="2"/>
  <c r="J572" i="2"/>
  <c r="I572" i="2"/>
  <c r="I580" i="2"/>
  <c r="J580" i="2"/>
  <c r="G664" i="2"/>
  <c r="H664" i="2" s="1"/>
  <c r="J748" i="2"/>
  <c r="F766" i="2"/>
  <c r="K646" i="2"/>
  <c r="K701" i="2" l="1"/>
  <c r="K572" i="2"/>
  <c r="K563" i="2"/>
  <c r="K687" i="2"/>
  <c r="F614" i="2"/>
  <c r="G602" i="2"/>
  <c r="H602" i="2" s="1"/>
  <c r="K584" i="2"/>
  <c r="I596" i="2"/>
  <c r="J596" i="2"/>
  <c r="F475" i="2"/>
  <c r="J463" i="2"/>
  <c r="I463" i="2"/>
  <c r="G475" i="2"/>
  <c r="H469" i="2"/>
  <c r="G696" i="2"/>
  <c r="H696" i="2" s="1"/>
  <c r="F702" i="2"/>
  <c r="G699" i="2"/>
  <c r="H699" i="2" s="1"/>
  <c r="F705" i="2"/>
  <c r="G719" i="2"/>
  <c r="H719" i="2" s="1"/>
  <c r="F731" i="2"/>
  <c r="K730" i="2"/>
  <c r="K684" i="2"/>
  <c r="K748" i="2"/>
  <c r="I690" i="2"/>
  <c r="J690" i="2"/>
  <c r="I693" i="2"/>
  <c r="J693" i="2"/>
  <c r="J713" i="2"/>
  <c r="I713" i="2"/>
  <c r="G590" i="2"/>
  <c r="H590" i="2" s="1"/>
  <c r="F599" i="2"/>
  <c r="G598" i="2"/>
  <c r="H598" i="2" s="1"/>
  <c r="K580" i="2"/>
  <c r="I581" i="2"/>
  <c r="J581" i="2"/>
  <c r="F682" i="2"/>
  <c r="G766" i="2"/>
  <c r="H766" i="2" s="1"/>
  <c r="I664" i="2"/>
  <c r="J664" i="2"/>
  <c r="K713" i="2" l="1"/>
  <c r="K693" i="2"/>
  <c r="J602" i="2"/>
  <c r="K596" i="2"/>
  <c r="F620" i="2"/>
  <c r="G614" i="2"/>
  <c r="H614" i="2" s="1"/>
  <c r="I602" i="2"/>
  <c r="F481" i="2"/>
  <c r="K463" i="2"/>
  <c r="G481" i="2"/>
  <c r="H481" i="2" s="1"/>
  <c r="H475" i="2"/>
  <c r="I469" i="2"/>
  <c r="J469" i="2"/>
  <c r="G702" i="2"/>
  <c r="H702" i="2" s="1"/>
  <c r="F708" i="2"/>
  <c r="G705" i="2"/>
  <c r="H705" i="2" s="1"/>
  <c r="F711" i="2"/>
  <c r="G731" i="2"/>
  <c r="H731" i="2" s="1"/>
  <c r="F737" i="2"/>
  <c r="K690" i="2"/>
  <c r="J696" i="2"/>
  <c r="I696" i="2"/>
  <c r="K696" i="2" s="1"/>
  <c r="J699" i="2"/>
  <c r="I699" i="2"/>
  <c r="I719" i="2"/>
  <c r="J719" i="2"/>
  <c r="K581" i="2"/>
  <c r="G599" i="2"/>
  <c r="H599" i="2" s="1"/>
  <c r="F608" i="2"/>
  <c r="F616" i="2"/>
  <c r="J590" i="2"/>
  <c r="I590" i="2"/>
  <c r="K590" i="2" s="1"/>
  <c r="J598" i="2"/>
  <c r="I598" i="2"/>
  <c r="G682" i="2"/>
  <c r="H682" i="2" s="1"/>
  <c r="F784" i="2"/>
  <c r="K664" i="2"/>
  <c r="I766" i="2"/>
  <c r="J766" i="2"/>
  <c r="K602" i="2" l="1"/>
  <c r="K699" i="2"/>
  <c r="F632" i="2"/>
  <c r="G620" i="2"/>
  <c r="H620" i="2" s="1"/>
  <c r="I614" i="2"/>
  <c r="J614" i="2"/>
  <c r="F487" i="2"/>
  <c r="G487" i="2" s="1"/>
  <c r="H487" i="2" s="1"/>
  <c r="K469" i="2"/>
  <c r="J475" i="2"/>
  <c r="I475" i="2"/>
  <c r="J481" i="2"/>
  <c r="I481" i="2"/>
  <c r="G708" i="2"/>
  <c r="H708" i="2" s="1"/>
  <c r="F714" i="2"/>
  <c r="G711" i="2"/>
  <c r="H711" i="2" s="1"/>
  <c r="F717" i="2"/>
  <c r="G737" i="2"/>
  <c r="H737" i="2" s="1"/>
  <c r="F749" i="2"/>
  <c r="K719" i="2"/>
  <c r="K598" i="2"/>
  <c r="I702" i="2"/>
  <c r="J702" i="2"/>
  <c r="J705" i="2"/>
  <c r="I705" i="2"/>
  <c r="J731" i="2"/>
  <c r="I731" i="2"/>
  <c r="K731" i="2" s="1"/>
  <c r="K766" i="2"/>
  <c r="G608" i="2"/>
  <c r="H608" i="2" s="1"/>
  <c r="F617" i="2"/>
  <c r="G616" i="2"/>
  <c r="H616" i="2" s="1"/>
  <c r="J599" i="2"/>
  <c r="I599" i="2"/>
  <c r="F700" i="2"/>
  <c r="G784" i="2"/>
  <c r="H784" i="2" s="1"/>
  <c r="I682" i="2"/>
  <c r="J682" i="2"/>
  <c r="K705" i="2" l="1"/>
  <c r="K702" i="2"/>
  <c r="K614" i="2"/>
  <c r="F638" i="2"/>
  <c r="G632" i="2"/>
  <c r="H632" i="2" s="1"/>
  <c r="I620" i="2"/>
  <c r="J620" i="2"/>
  <c r="F493" i="2"/>
  <c r="K475" i="2"/>
  <c r="K481" i="2"/>
  <c r="I487" i="2"/>
  <c r="J487" i="2"/>
  <c r="G714" i="2"/>
  <c r="H714" i="2" s="1"/>
  <c r="F720" i="2"/>
  <c r="G717" i="2"/>
  <c r="H717" i="2" s="1"/>
  <c r="F723" i="2"/>
  <c r="G749" i="2"/>
  <c r="H749" i="2" s="1"/>
  <c r="F755" i="2"/>
  <c r="K599" i="2"/>
  <c r="J708" i="2"/>
  <c r="I708" i="2"/>
  <c r="J711" i="2"/>
  <c r="I711" i="2"/>
  <c r="I737" i="2"/>
  <c r="J737" i="2"/>
  <c r="G617" i="2"/>
  <c r="H617" i="2" s="1"/>
  <c r="F626" i="2"/>
  <c r="F634" i="2"/>
  <c r="I608" i="2"/>
  <c r="J608" i="2"/>
  <c r="I616" i="2"/>
  <c r="J616" i="2"/>
  <c r="G700" i="2"/>
  <c r="H700" i="2" s="1"/>
  <c r="F802" i="2"/>
  <c r="K682" i="2"/>
  <c r="I784" i="2"/>
  <c r="J784" i="2"/>
  <c r="K708" i="2" l="1"/>
  <c r="K711" i="2"/>
  <c r="I749" i="2"/>
  <c r="F650" i="2"/>
  <c r="G638" i="2"/>
  <c r="H638" i="2"/>
  <c r="K620" i="2"/>
  <c r="I632" i="2"/>
  <c r="J632" i="2"/>
  <c r="G493" i="2"/>
  <c r="H493" i="2" s="1"/>
  <c r="F499" i="2"/>
  <c r="G499" i="2" s="1"/>
  <c r="H499" i="2" s="1"/>
  <c r="K487" i="2"/>
  <c r="G720" i="2"/>
  <c r="H720" i="2" s="1"/>
  <c r="F726" i="2"/>
  <c r="G723" i="2"/>
  <c r="H723" i="2" s="1"/>
  <c r="F729" i="2"/>
  <c r="G755" i="2"/>
  <c r="H755" i="2" s="1"/>
  <c r="F767" i="2"/>
  <c r="J749" i="2"/>
  <c r="K737" i="2"/>
  <c r="K784" i="2"/>
  <c r="J714" i="2"/>
  <c r="I714" i="2"/>
  <c r="I717" i="2"/>
  <c r="J717" i="2"/>
  <c r="K616" i="2"/>
  <c r="F635" i="2"/>
  <c r="G626" i="2"/>
  <c r="H626" i="2" s="1"/>
  <c r="G634" i="2"/>
  <c r="H634" i="2" s="1"/>
  <c r="K608" i="2"/>
  <c r="I617" i="2"/>
  <c r="J617" i="2"/>
  <c r="F718" i="2"/>
  <c r="G802" i="2"/>
  <c r="H802" i="2"/>
  <c r="I700" i="2"/>
  <c r="J700" i="2"/>
  <c r="K714" i="2" l="1"/>
  <c r="K717" i="2"/>
  <c r="K749" i="2"/>
  <c r="K632" i="2"/>
  <c r="F656" i="2"/>
  <c r="G650" i="2"/>
  <c r="H650" i="2" s="1"/>
  <c r="J638" i="2"/>
  <c r="I638" i="2"/>
  <c r="I493" i="2"/>
  <c r="J493" i="2"/>
  <c r="F505" i="2"/>
  <c r="F511" i="2"/>
  <c r="I499" i="2"/>
  <c r="J499" i="2"/>
  <c r="G726" i="2"/>
  <c r="H726" i="2" s="1"/>
  <c r="F732" i="2"/>
  <c r="G729" i="2"/>
  <c r="H729" i="2" s="1"/>
  <c r="F735" i="2"/>
  <c r="G767" i="2"/>
  <c r="H767" i="2" s="1"/>
  <c r="F773" i="2"/>
  <c r="J720" i="2"/>
  <c r="I720" i="2"/>
  <c r="K720" i="2" s="1"/>
  <c r="I723" i="2"/>
  <c r="J723" i="2"/>
  <c r="J755" i="2"/>
  <c r="I755" i="2"/>
  <c r="K755" i="2" s="1"/>
  <c r="K700" i="2"/>
  <c r="G635" i="2"/>
  <c r="H635" i="2" s="1"/>
  <c r="F644" i="2"/>
  <c r="F652" i="2"/>
  <c r="K617" i="2"/>
  <c r="J626" i="2"/>
  <c r="I626" i="2"/>
  <c r="J634" i="2"/>
  <c r="I634" i="2"/>
  <c r="G718" i="2"/>
  <c r="H718" i="2" s="1"/>
  <c r="F820" i="2"/>
  <c r="I802" i="2"/>
  <c r="J802" i="2"/>
  <c r="K626" i="2" l="1"/>
  <c r="K638" i="2"/>
  <c r="K493" i="2"/>
  <c r="I726" i="2"/>
  <c r="K723" i="2"/>
  <c r="F668" i="2"/>
  <c r="G656" i="2"/>
  <c r="H656" i="2" s="1"/>
  <c r="I650" i="2"/>
  <c r="J650" i="2"/>
  <c r="G505" i="2"/>
  <c r="H505" i="2" s="1"/>
  <c r="K499" i="2"/>
  <c r="G511" i="2"/>
  <c r="H511" i="2" s="1"/>
  <c r="F517" i="2"/>
  <c r="J726" i="2"/>
  <c r="G732" i="2"/>
  <c r="H732" i="2" s="1"/>
  <c r="F738" i="2"/>
  <c r="G735" i="2"/>
  <c r="H735" i="2" s="1"/>
  <c r="F741" i="2"/>
  <c r="G773" i="2"/>
  <c r="H773" i="2" s="1"/>
  <c r="F785" i="2"/>
  <c r="I729" i="2"/>
  <c r="J729" i="2"/>
  <c r="I767" i="2"/>
  <c r="J767" i="2"/>
  <c r="K802" i="2"/>
  <c r="K634" i="2"/>
  <c r="F653" i="2"/>
  <c r="G644" i="2"/>
  <c r="H644" i="2" s="1"/>
  <c r="G652" i="2"/>
  <c r="H652" i="2" s="1"/>
  <c r="J652" i="2" s="1"/>
  <c r="I635" i="2"/>
  <c r="J635" i="2"/>
  <c r="F736" i="2"/>
  <c r="H820" i="2"/>
  <c r="G820" i="2"/>
  <c r="I718" i="2"/>
  <c r="J718" i="2"/>
  <c r="K726" i="2" l="1"/>
  <c r="K650" i="2"/>
  <c r="G668" i="2"/>
  <c r="H668" i="2" s="1"/>
  <c r="F674" i="2"/>
  <c r="J656" i="2"/>
  <c r="I656" i="2"/>
  <c r="I505" i="2"/>
  <c r="J505" i="2"/>
  <c r="K505" i="2" s="1"/>
  <c r="F523" i="2"/>
  <c r="G517" i="2"/>
  <c r="H517" i="2" s="1"/>
  <c r="I511" i="2"/>
  <c r="J511" i="2"/>
  <c r="G738" i="2"/>
  <c r="H738" i="2" s="1"/>
  <c r="F744" i="2"/>
  <c r="G741" i="2"/>
  <c r="H741" i="2" s="1"/>
  <c r="F747" i="2"/>
  <c r="G785" i="2"/>
  <c r="H785" i="2" s="1"/>
  <c r="F791" i="2"/>
  <c r="K729" i="2"/>
  <c r="K767" i="2"/>
  <c r="I732" i="2"/>
  <c r="J732" i="2"/>
  <c r="J735" i="2"/>
  <c r="I735" i="2"/>
  <c r="K735" i="2" s="1"/>
  <c r="J773" i="2"/>
  <c r="I773" i="2"/>
  <c r="K718" i="2"/>
  <c r="I652" i="2"/>
  <c r="K652" i="2" s="1"/>
  <c r="J820" i="2"/>
  <c r="I820" i="2"/>
  <c r="K820" i="2" s="1"/>
  <c r="G653" i="2"/>
  <c r="H653" i="2" s="1"/>
  <c r="F662" i="2"/>
  <c r="F670" i="2"/>
  <c r="K635" i="2"/>
  <c r="I644" i="2"/>
  <c r="J644" i="2"/>
  <c r="G736" i="2"/>
  <c r="H736" i="2" s="1"/>
  <c r="F838" i="2"/>
  <c r="K773" i="2" l="1"/>
  <c r="F686" i="2"/>
  <c r="G674" i="2"/>
  <c r="H674" i="2" s="1"/>
  <c r="K656" i="2"/>
  <c r="I668" i="2"/>
  <c r="J668" i="2"/>
  <c r="G523" i="2"/>
  <c r="H523" i="2" s="1"/>
  <c r="F529" i="2"/>
  <c r="K511" i="2"/>
  <c r="J517" i="2"/>
  <c r="I517" i="2"/>
  <c r="G744" i="2"/>
  <c r="H744" i="2" s="1"/>
  <c r="F750" i="2"/>
  <c r="G747" i="2"/>
  <c r="H747" i="2" s="1"/>
  <c r="F753" i="2"/>
  <c r="G791" i="2"/>
  <c r="H791" i="2"/>
  <c r="F803" i="2"/>
  <c r="K732" i="2"/>
  <c r="I738" i="2"/>
  <c r="J738" i="2"/>
  <c r="J741" i="2"/>
  <c r="I741" i="2"/>
  <c r="J785" i="2"/>
  <c r="I785" i="2"/>
  <c r="K644" i="2"/>
  <c r="G662" i="2"/>
  <c r="H662" i="2" s="1"/>
  <c r="F671" i="2"/>
  <c r="G670" i="2"/>
  <c r="H670" i="2" s="1"/>
  <c r="J653" i="2"/>
  <c r="I653" i="2"/>
  <c r="F754" i="2"/>
  <c r="H838" i="2"/>
  <c r="G838" i="2"/>
  <c r="I736" i="2"/>
  <c r="J736" i="2"/>
  <c r="K741" i="2" l="1"/>
  <c r="K785" i="2"/>
  <c r="K653" i="2"/>
  <c r="K668" i="2"/>
  <c r="J674" i="2"/>
  <c r="I674" i="2"/>
  <c r="K674" i="2" s="1"/>
  <c r="F692" i="2"/>
  <c r="G686" i="2"/>
  <c r="H686" i="2" s="1"/>
  <c r="K517" i="2"/>
  <c r="F535" i="2"/>
  <c r="G529" i="2"/>
  <c r="H529" i="2" s="1"/>
  <c r="J523" i="2"/>
  <c r="I523" i="2"/>
  <c r="G750" i="2"/>
  <c r="H750" i="2" s="1"/>
  <c r="F756" i="2"/>
  <c r="G753" i="2"/>
  <c r="H753" i="2" s="1"/>
  <c r="F759" i="2"/>
  <c r="G803" i="2"/>
  <c r="H803" i="2"/>
  <c r="F809" i="2"/>
  <c r="K738" i="2"/>
  <c r="I744" i="2"/>
  <c r="J744" i="2"/>
  <c r="J747" i="2"/>
  <c r="I747" i="2"/>
  <c r="J791" i="2"/>
  <c r="I791" i="2"/>
  <c r="K736" i="2"/>
  <c r="F680" i="2"/>
  <c r="G671" i="2"/>
  <c r="H671" i="2" s="1"/>
  <c r="F688" i="2"/>
  <c r="J662" i="2"/>
  <c r="I662" i="2"/>
  <c r="I670" i="2"/>
  <c r="J670" i="2"/>
  <c r="G754" i="2"/>
  <c r="H754" i="2" s="1"/>
  <c r="F856" i="2"/>
  <c r="I838" i="2"/>
  <c r="J838" i="2"/>
  <c r="K791" i="2" l="1"/>
  <c r="K662" i="2"/>
  <c r="J803" i="2"/>
  <c r="I803" i="2"/>
  <c r="K803" i="2" s="1"/>
  <c r="F704" i="2"/>
  <c r="G692" i="2"/>
  <c r="H692" i="2" s="1"/>
  <c r="J686" i="2"/>
  <c r="I686" i="2"/>
  <c r="F541" i="2"/>
  <c r="G535" i="2"/>
  <c r="H535" i="2" s="1"/>
  <c r="K523" i="2"/>
  <c r="J529" i="2"/>
  <c r="I529" i="2"/>
  <c r="G756" i="2"/>
  <c r="H756" i="2" s="1"/>
  <c r="F762" i="2"/>
  <c r="G759" i="2"/>
  <c r="H759" i="2" s="1"/>
  <c r="F765" i="2"/>
  <c r="G809" i="2"/>
  <c r="H809" i="2"/>
  <c r="F821" i="2"/>
  <c r="K744" i="2"/>
  <c r="K747" i="2"/>
  <c r="J750" i="2"/>
  <c r="I750" i="2"/>
  <c r="I753" i="2"/>
  <c r="J753" i="2"/>
  <c r="K670" i="2"/>
  <c r="G680" i="2"/>
  <c r="H680" i="2" s="1"/>
  <c r="F689" i="2"/>
  <c r="G688" i="2"/>
  <c r="H688" i="2" s="1"/>
  <c r="J671" i="2"/>
  <c r="I671" i="2"/>
  <c r="F772" i="2"/>
  <c r="H856" i="2"/>
  <c r="G856" i="2"/>
  <c r="K838" i="2"/>
  <c r="J754" i="2"/>
  <c r="I754" i="2"/>
  <c r="K686" i="2" l="1"/>
  <c r="K750" i="2"/>
  <c r="K754" i="2"/>
  <c r="K671" i="2"/>
  <c r="K753" i="2"/>
  <c r="F710" i="2"/>
  <c r="G704" i="2"/>
  <c r="H704" i="2" s="1"/>
  <c r="J692" i="2"/>
  <c r="I692" i="2"/>
  <c r="K529" i="2"/>
  <c r="G541" i="2"/>
  <c r="H541" i="2" s="1"/>
  <c r="F547" i="2"/>
  <c r="I535" i="2"/>
  <c r="J535" i="2"/>
  <c r="G762" i="2"/>
  <c r="H762" i="2" s="1"/>
  <c r="F768" i="2"/>
  <c r="G765" i="2"/>
  <c r="H765" i="2" s="1"/>
  <c r="F771" i="2"/>
  <c r="G821" i="2"/>
  <c r="H821" i="2"/>
  <c r="F827" i="2"/>
  <c r="I756" i="2"/>
  <c r="J756" i="2"/>
  <c r="J759" i="2"/>
  <c r="I759" i="2"/>
  <c r="J809" i="2"/>
  <c r="I809" i="2"/>
  <c r="F698" i="2"/>
  <c r="G689" i="2"/>
  <c r="H689" i="2" s="1"/>
  <c r="J689" i="2" s="1"/>
  <c r="F706" i="2"/>
  <c r="J680" i="2"/>
  <c r="I680" i="2"/>
  <c r="J688" i="2"/>
  <c r="I688" i="2"/>
  <c r="G772" i="2"/>
  <c r="H772" i="2" s="1"/>
  <c r="F874" i="2"/>
  <c r="I856" i="2"/>
  <c r="J856" i="2"/>
  <c r="K809" i="2" l="1"/>
  <c r="K688" i="2"/>
  <c r="K680" i="2"/>
  <c r="K692" i="2"/>
  <c r="K759" i="2"/>
  <c r="F722" i="2"/>
  <c r="G710" i="2"/>
  <c r="H710" i="2" s="1"/>
  <c r="I704" i="2"/>
  <c r="J704" i="2"/>
  <c r="G547" i="2"/>
  <c r="H547" i="2" s="1"/>
  <c r="F553" i="2"/>
  <c r="K535" i="2"/>
  <c r="I541" i="2"/>
  <c r="J541" i="2"/>
  <c r="G768" i="2"/>
  <c r="H768" i="2" s="1"/>
  <c r="F774" i="2"/>
  <c r="G771" i="2"/>
  <c r="H771" i="2" s="1"/>
  <c r="F777" i="2"/>
  <c r="H827" i="2"/>
  <c r="G827" i="2"/>
  <c r="F839" i="2"/>
  <c r="K756" i="2"/>
  <c r="I762" i="2"/>
  <c r="J762" i="2"/>
  <c r="I765" i="2"/>
  <c r="J765" i="2"/>
  <c r="I821" i="2"/>
  <c r="J821" i="2"/>
  <c r="K856" i="2"/>
  <c r="G698" i="2"/>
  <c r="H698" i="2" s="1"/>
  <c r="F707" i="2"/>
  <c r="I689" i="2"/>
  <c r="K689" i="2" s="1"/>
  <c r="G706" i="2"/>
  <c r="H706" i="2" s="1"/>
  <c r="F790" i="2"/>
  <c r="H874" i="2"/>
  <c r="G874" i="2"/>
  <c r="I772" i="2"/>
  <c r="J772" i="2"/>
  <c r="K762" i="2" l="1"/>
  <c r="K704" i="2"/>
  <c r="K765" i="2"/>
  <c r="F728" i="2"/>
  <c r="G722" i="2"/>
  <c r="H722" i="2" s="1"/>
  <c r="J710" i="2"/>
  <c r="I710" i="2"/>
  <c r="F559" i="2"/>
  <c r="G553" i="2"/>
  <c r="H553" i="2" s="1"/>
  <c r="K541" i="2"/>
  <c r="I547" i="2"/>
  <c r="J547" i="2"/>
  <c r="G774" i="2"/>
  <c r="H774" i="2" s="1"/>
  <c r="F780" i="2"/>
  <c r="G777" i="2"/>
  <c r="H777" i="2" s="1"/>
  <c r="F783" i="2"/>
  <c r="G839" i="2"/>
  <c r="H839" i="2"/>
  <c r="F845" i="2"/>
  <c r="K821" i="2"/>
  <c r="J706" i="2"/>
  <c r="I768" i="2"/>
  <c r="J768" i="2"/>
  <c r="I771" i="2"/>
  <c r="J771" i="2"/>
  <c r="I827" i="2"/>
  <c r="J827" i="2"/>
  <c r="K772" i="2"/>
  <c r="I874" i="2"/>
  <c r="I706" i="2"/>
  <c r="G707" i="2"/>
  <c r="H707" i="2" s="1"/>
  <c r="F716" i="2"/>
  <c r="F724" i="2"/>
  <c r="I698" i="2"/>
  <c r="J698" i="2"/>
  <c r="G790" i="2"/>
  <c r="H790" i="2" s="1"/>
  <c r="F892" i="2"/>
  <c r="J874" i="2"/>
  <c r="K710" i="2" l="1"/>
  <c r="K706" i="2"/>
  <c r="K768" i="2"/>
  <c r="G728" i="2"/>
  <c r="H728" i="2" s="1"/>
  <c r="F740" i="2"/>
  <c r="J722" i="2"/>
  <c r="I722" i="2"/>
  <c r="K547" i="2"/>
  <c r="G559" i="2"/>
  <c r="H559" i="2" s="1"/>
  <c r="F565" i="2"/>
  <c r="I553" i="2"/>
  <c r="J553" i="2"/>
  <c r="G780" i="2"/>
  <c r="H780" i="2" s="1"/>
  <c r="F786" i="2"/>
  <c r="G783" i="2"/>
  <c r="H783" i="2" s="1"/>
  <c r="F789" i="2"/>
  <c r="G845" i="2"/>
  <c r="H845" i="2"/>
  <c r="F857" i="2"/>
  <c r="K771" i="2"/>
  <c r="K827" i="2"/>
  <c r="I774" i="2"/>
  <c r="J774" i="2"/>
  <c r="J777" i="2"/>
  <c r="I777" i="2"/>
  <c r="K777" i="2" s="1"/>
  <c r="J839" i="2"/>
  <c r="I839" i="2"/>
  <c r="K839" i="2" s="1"/>
  <c r="K874" i="2"/>
  <c r="K698" i="2"/>
  <c r="G716" i="2"/>
  <c r="H716" i="2" s="1"/>
  <c r="F725" i="2"/>
  <c r="G724" i="2"/>
  <c r="H724" i="2" s="1"/>
  <c r="I707" i="2"/>
  <c r="J707" i="2"/>
  <c r="F808" i="2"/>
  <c r="G892" i="2"/>
  <c r="H892" i="2"/>
  <c r="J790" i="2"/>
  <c r="I790" i="2"/>
  <c r="K722" i="2" l="1"/>
  <c r="F746" i="2"/>
  <c r="G740" i="2"/>
  <c r="H740" i="2" s="1"/>
  <c r="J728" i="2"/>
  <c r="I728" i="2"/>
  <c r="K728" i="2" s="1"/>
  <c r="K553" i="2"/>
  <c r="G565" i="2"/>
  <c r="H565" i="2" s="1"/>
  <c r="F571" i="2"/>
  <c r="I559" i="2"/>
  <c r="J559" i="2"/>
  <c r="G786" i="2"/>
  <c r="H786" i="2" s="1"/>
  <c r="F792" i="2"/>
  <c r="G789" i="2"/>
  <c r="H789" i="2" s="1"/>
  <c r="F795" i="2"/>
  <c r="H857" i="2"/>
  <c r="G857" i="2"/>
  <c r="F863" i="2"/>
  <c r="K774" i="2"/>
  <c r="K707" i="2"/>
  <c r="J780" i="2"/>
  <c r="I780" i="2"/>
  <c r="I783" i="2"/>
  <c r="J783" i="2"/>
  <c r="I845" i="2"/>
  <c r="J845" i="2"/>
  <c r="K790" i="2"/>
  <c r="J724" i="2"/>
  <c r="I892" i="2"/>
  <c r="J892" i="2"/>
  <c r="F734" i="2"/>
  <c r="G725" i="2"/>
  <c r="H725" i="2" s="1"/>
  <c r="F742" i="2"/>
  <c r="I724" i="2"/>
  <c r="I716" i="2"/>
  <c r="J716" i="2"/>
  <c r="H808" i="2"/>
  <c r="G808" i="2"/>
  <c r="F910" i="2"/>
  <c r="K780" i="2" l="1"/>
  <c r="F758" i="2"/>
  <c r="G746" i="2"/>
  <c r="H746" i="2"/>
  <c r="J740" i="2"/>
  <c r="I740" i="2"/>
  <c r="F577" i="2"/>
  <c r="G571" i="2"/>
  <c r="H571" i="2" s="1"/>
  <c r="K559" i="2"/>
  <c r="J565" i="2"/>
  <c r="I565" i="2"/>
  <c r="K565" i="2" s="1"/>
  <c r="H792" i="2"/>
  <c r="G792" i="2"/>
  <c r="F798" i="2"/>
  <c r="H795" i="2"/>
  <c r="G795" i="2"/>
  <c r="F801" i="2"/>
  <c r="H863" i="2"/>
  <c r="G863" i="2"/>
  <c r="F875" i="2"/>
  <c r="K783" i="2"/>
  <c r="K845" i="2"/>
  <c r="I786" i="2"/>
  <c r="J786" i="2"/>
  <c r="J789" i="2"/>
  <c r="I789" i="2"/>
  <c r="J857" i="2"/>
  <c r="I857" i="2"/>
  <c r="K857" i="2" s="1"/>
  <c r="K892" i="2"/>
  <c r="K724" i="2"/>
  <c r="F743" i="2"/>
  <c r="G734" i="2"/>
  <c r="H734" i="2" s="1"/>
  <c r="G742" i="2"/>
  <c r="H742" i="2" s="1"/>
  <c r="K716" i="2"/>
  <c r="J725" i="2"/>
  <c r="I725" i="2"/>
  <c r="K725" i="2" s="1"/>
  <c r="F826" i="2"/>
  <c r="H910" i="2"/>
  <c r="G910" i="2"/>
  <c r="J808" i="2"/>
  <c r="I808" i="2"/>
  <c r="K789" i="2" l="1"/>
  <c r="K740" i="2"/>
  <c r="K808" i="2"/>
  <c r="F764" i="2"/>
  <c r="G758" i="2"/>
  <c r="H758" i="2" s="1"/>
  <c r="J746" i="2"/>
  <c r="I746" i="2"/>
  <c r="J571" i="2"/>
  <c r="I571" i="2"/>
  <c r="G577" i="2"/>
  <c r="H577" i="2" s="1"/>
  <c r="F583" i="2"/>
  <c r="H798" i="2"/>
  <c r="G798" i="2"/>
  <c r="F804" i="2"/>
  <c r="H801" i="2"/>
  <c r="G801" i="2"/>
  <c r="F807" i="2"/>
  <c r="H875" i="2"/>
  <c r="G875" i="2"/>
  <c r="F881" i="2"/>
  <c r="K786" i="2"/>
  <c r="J792" i="2"/>
  <c r="I792" i="2"/>
  <c r="I795" i="2"/>
  <c r="J795" i="2"/>
  <c r="I863" i="2"/>
  <c r="J863" i="2"/>
  <c r="F752" i="2"/>
  <c r="G743" i="2"/>
  <c r="H743" i="2" s="1"/>
  <c r="F760" i="2"/>
  <c r="J734" i="2"/>
  <c r="I734" i="2"/>
  <c r="I742" i="2"/>
  <c r="J742" i="2"/>
  <c r="H826" i="2"/>
  <c r="G826" i="2"/>
  <c r="F928" i="2"/>
  <c r="J910" i="2"/>
  <c r="I910" i="2"/>
  <c r="K734" i="2" l="1"/>
  <c r="K792" i="2"/>
  <c r="I758" i="2"/>
  <c r="K746" i="2"/>
  <c r="J743" i="2"/>
  <c r="J798" i="2"/>
  <c r="F776" i="2"/>
  <c r="G764" i="2"/>
  <c r="H764" i="2" s="1"/>
  <c r="J758" i="2"/>
  <c r="K571" i="2"/>
  <c r="G583" i="2"/>
  <c r="H583" i="2" s="1"/>
  <c r="F589" i="2"/>
  <c r="J577" i="2"/>
  <c r="I577" i="2"/>
  <c r="G804" i="2"/>
  <c r="H804" i="2"/>
  <c r="F810" i="2"/>
  <c r="H807" i="2"/>
  <c r="G807" i="2"/>
  <c r="F813" i="2"/>
  <c r="H881" i="2"/>
  <c r="G881" i="2"/>
  <c r="F893" i="2"/>
  <c r="I798" i="2"/>
  <c r="K795" i="2"/>
  <c r="K863" i="2"/>
  <c r="I801" i="2"/>
  <c r="J801" i="2"/>
  <c r="I875" i="2"/>
  <c r="J875" i="2"/>
  <c r="K910" i="2"/>
  <c r="K742" i="2"/>
  <c r="I743" i="2"/>
  <c r="F761" i="2"/>
  <c r="G752" i="2"/>
  <c r="H752" i="2" s="1"/>
  <c r="G760" i="2"/>
  <c r="H760" i="2" s="1"/>
  <c r="F844" i="2"/>
  <c r="G928" i="2"/>
  <c r="H928" i="2"/>
  <c r="I826" i="2"/>
  <c r="J826" i="2"/>
  <c r="K577" i="2" l="1"/>
  <c r="K798" i="2"/>
  <c r="K758" i="2"/>
  <c r="K743" i="2"/>
  <c r="K801" i="2"/>
  <c r="F782" i="2"/>
  <c r="G776" i="2"/>
  <c r="H776" i="2" s="1"/>
  <c r="J764" i="2"/>
  <c r="I764" i="2"/>
  <c r="F595" i="2"/>
  <c r="G589" i="2"/>
  <c r="H589" i="2" s="1"/>
  <c r="I583" i="2"/>
  <c r="J583" i="2"/>
  <c r="H810" i="2"/>
  <c r="G810" i="2"/>
  <c r="F816" i="2"/>
  <c r="G813" i="2"/>
  <c r="H813" i="2"/>
  <c r="J813" i="2" s="1"/>
  <c r="F819" i="2"/>
  <c r="H893" i="2"/>
  <c r="G893" i="2"/>
  <c r="F899" i="2"/>
  <c r="K875" i="2"/>
  <c r="I804" i="2"/>
  <c r="J804" i="2"/>
  <c r="I807" i="2"/>
  <c r="J807" i="2"/>
  <c r="I881" i="2"/>
  <c r="J881" i="2"/>
  <c r="F770" i="2"/>
  <c r="G761" i="2"/>
  <c r="H761" i="2" s="1"/>
  <c r="F778" i="2"/>
  <c r="I752" i="2"/>
  <c r="J752" i="2"/>
  <c r="I760" i="2"/>
  <c r="J760" i="2"/>
  <c r="G844" i="2"/>
  <c r="H844" i="2"/>
  <c r="F946" i="2"/>
  <c r="K826" i="2"/>
  <c r="J928" i="2"/>
  <c r="I928" i="2"/>
  <c r="K764" i="2" l="1"/>
  <c r="K928" i="2"/>
  <c r="K804" i="2"/>
  <c r="K881" i="2"/>
  <c r="F794" i="2"/>
  <c r="G782" i="2"/>
  <c r="H782" i="2" s="1"/>
  <c r="I776" i="2"/>
  <c r="J776" i="2"/>
  <c r="K583" i="2"/>
  <c r="F601" i="2"/>
  <c r="G595" i="2"/>
  <c r="H595" i="2" s="1"/>
  <c r="J589" i="2"/>
  <c r="I589" i="2"/>
  <c r="H816" i="2"/>
  <c r="G816" i="2"/>
  <c r="F822" i="2"/>
  <c r="I813" i="2"/>
  <c r="K813" i="2" s="1"/>
  <c r="G819" i="2"/>
  <c r="H819" i="2"/>
  <c r="F825" i="2"/>
  <c r="G899" i="2"/>
  <c r="H899" i="2"/>
  <c r="F911" i="2"/>
  <c r="K807" i="2"/>
  <c r="I810" i="2"/>
  <c r="J810" i="2"/>
  <c r="J893" i="2"/>
  <c r="I893" i="2"/>
  <c r="K893" i="2" s="1"/>
  <c r="G770" i="2"/>
  <c r="H770" i="2" s="1"/>
  <c r="F779" i="2"/>
  <c r="G778" i="2"/>
  <c r="H778" i="2" s="1"/>
  <c r="K752" i="2"/>
  <c r="K760" i="2"/>
  <c r="I761" i="2"/>
  <c r="J761" i="2"/>
  <c r="F862" i="2"/>
  <c r="H946" i="2"/>
  <c r="G946" i="2"/>
  <c r="J844" i="2"/>
  <c r="I844" i="2"/>
  <c r="K844" i="2" l="1"/>
  <c r="K810" i="2"/>
  <c r="F800" i="2"/>
  <c r="H794" i="2"/>
  <c r="G794" i="2"/>
  <c r="K776" i="2"/>
  <c r="I782" i="2"/>
  <c r="J782" i="2"/>
  <c r="G601" i="2"/>
  <c r="H601" i="2" s="1"/>
  <c r="F607" i="2"/>
  <c r="K589" i="2"/>
  <c r="I595" i="2"/>
  <c r="J595" i="2"/>
  <c r="H822" i="2"/>
  <c r="G822" i="2"/>
  <c r="F828" i="2"/>
  <c r="G825" i="2"/>
  <c r="H825" i="2"/>
  <c r="F831" i="2"/>
  <c r="G911" i="2"/>
  <c r="H911" i="2"/>
  <c r="F917" i="2"/>
  <c r="I816" i="2"/>
  <c r="J816" i="2"/>
  <c r="J819" i="2"/>
  <c r="I819" i="2"/>
  <c r="J899" i="2"/>
  <c r="I899" i="2"/>
  <c r="K761" i="2"/>
  <c r="F788" i="2"/>
  <c r="G779" i="2"/>
  <c r="H779" i="2" s="1"/>
  <c r="F796" i="2"/>
  <c r="I770" i="2"/>
  <c r="J770" i="2"/>
  <c r="I778" i="2"/>
  <c r="J778" i="2"/>
  <c r="H862" i="2"/>
  <c r="G862" i="2"/>
  <c r="F964" i="2"/>
  <c r="J946" i="2"/>
  <c r="I946" i="2"/>
  <c r="K899" i="2" l="1"/>
  <c r="K946" i="2"/>
  <c r="K819" i="2"/>
  <c r="K782" i="2"/>
  <c r="F812" i="2"/>
  <c r="G800" i="2"/>
  <c r="H800" i="2"/>
  <c r="J794" i="2"/>
  <c r="I794" i="2"/>
  <c r="F613" i="2"/>
  <c r="G607" i="2"/>
  <c r="H607" i="2" s="1"/>
  <c r="K595" i="2"/>
  <c r="J601" i="2"/>
  <c r="I601" i="2"/>
  <c r="H828" i="2"/>
  <c r="G828" i="2"/>
  <c r="F834" i="2"/>
  <c r="H831" i="2"/>
  <c r="G831" i="2"/>
  <c r="F837" i="2"/>
  <c r="G917" i="2"/>
  <c r="H917" i="2"/>
  <c r="F929" i="2"/>
  <c r="K816" i="2"/>
  <c r="I822" i="2"/>
  <c r="J822" i="2"/>
  <c r="J825" i="2"/>
  <c r="I825" i="2"/>
  <c r="K825" i="2" s="1"/>
  <c r="I911" i="2"/>
  <c r="J911" i="2"/>
  <c r="G788" i="2"/>
  <c r="H788" i="2" s="1"/>
  <c r="F797" i="2"/>
  <c r="H796" i="2"/>
  <c r="G796" i="2"/>
  <c r="K770" i="2"/>
  <c r="K778" i="2"/>
  <c r="I779" i="2"/>
  <c r="J779" i="2"/>
  <c r="F880" i="2"/>
  <c r="G964" i="2"/>
  <c r="H964" i="2"/>
  <c r="I862" i="2"/>
  <c r="J862" i="2"/>
  <c r="K794" i="2" l="1"/>
  <c r="K822" i="2"/>
  <c r="K911" i="2"/>
  <c r="F818" i="2"/>
  <c r="H812" i="2"/>
  <c r="G812" i="2"/>
  <c r="I800" i="2"/>
  <c r="J800" i="2"/>
  <c r="K601" i="2"/>
  <c r="F619" i="2"/>
  <c r="G613" i="2"/>
  <c r="H613" i="2" s="1"/>
  <c r="J607" i="2"/>
  <c r="I607" i="2"/>
  <c r="G834" i="2"/>
  <c r="H834" i="2"/>
  <c r="F840" i="2"/>
  <c r="G837" i="2"/>
  <c r="H837" i="2"/>
  <c r="F843" i="2"/>
  <c r="G929" i="2"/>
  <c r="H929" i="2"/>
  <c r="F935" i="2"/>
  <c r="I828" i="2"/>
  <c r="J828" i="2"/>
  <c r="I831" i="2"/>
  <c r="J831" i="2"/>
  <c r="J917" i="2"/>
  <c r="I917" i="2"/>
  <c r="K917" i="2" s="1"/>
  <c r="K779" i="2"/>
  <c r="F806" i="2"/>
  <c r="H797" i="2"/>
  <c r="G797" i="2"/>
  <c r="F814" i="2"/>
  <c r="I788" i="2"/>
  <c r="J788" i="2"/>
  <c r="J796" i="2"/>
  <c r="I796" i="2"/>
  <c r="H880" i="2"/>
  <c r="G880" i="2"/>
  <c r="F982" i="2"/>
  <c r="K862" i="2"/>
  <c r="J964" i="2"/>
  <c r="I964" i="2"/>
  <c r="K964" i="2" l="1"/>
  <c r="K800" i="2"/>
  <c r="K788" i="2"/>
  <c r="F830" i="2"/>
  <c r="H818" i="2"/>
  <c r="G818" i="2"/>
  <c r="I812" i="2"/>
  <c r="J812" i="2"/>
  <c r="G619" i="2"/>
  <c r="H619" i="2" s="1"/>
  <c r="F625" i="2"/>
  <c r="K607" i="2"/>
  <c r="J613" i="2"/>
  <c r="I613" i="2"/>
  <c r="H840" i="2"/>
  <c r="G840" i="2"/>
  <c r="F846" i="2"/>
  <c r="G843" i="2"/>
  <c r="H843" i="2"/>
  <c r="F849" i="2"/>
  <c r="H935" i="2"/>
  <c r="G935" i="2"/>
  <c r="F947" i="2"/>
  <c r="K828" i="2"/>
  <c r="K831" i="2"/>
  <c r="K796" i="2"/>
  <c r="J834" i="2"/>
  <c r="I834" i="2"/>
  <c r="K834" i="2" s="1"/>
  <c r="I837" i="2"/>
  <c r="J837" i="2"/>
  <c r="I929" i="2"/>
  <c r="J929" i="2"/>
  <c r="H806" i="2"/>
  <c r="G806" i="2"/>
  <c r="F815" i="2"/>
  <c r="H814" i="2"/>
  <c r="G814" i="2"/>
  <c r="J797" i="2"/>
  <c r="I797" i="2"/>
  <c r="F898" i="2"/>
  <c r="G982" i="2"/>
  <c r="H982" i="2"/>
  <c r="J880" i="2"/>
  <c r="I880" i="2"/>
  <c r="I843" i="2" l="1"/>
  <c r="K880" i="2"/>
  <c r="K837" i="2"/>
  <c r="J843" i="2"/>
  <c r="K843" i="2" s="1"/>
  <c r="F836" i="2"/>
  <c r="G830" i="2"/>
  <c r="H830" i="2"/>
  <c r="K812" i="2"/>
  <c r="I818" i="2"/>
  <c r="J818" i="2"/>
  <c r="K613" i="2"/>
  <c r="F631" i="2"/>
  <c r="G625" i="2"/>
  <c r="H625" i="2" s="1"/>
  <c r="I619" i="2"/>
  <c r="J619" i="2"/>
  <c r="G846" i="2"/>
  <c r="H846" i="2"/>
  <c r="F852" i="2"/>
  <c r="H849" i="2"/>
  <c r="G849" i="2"/>
  <c r="F855" i="2"/>
  <c r="G947" i="2"/>
  <c r="H947" i="2"/>
  <c r="F953" i="2"/>
  <c r="K929" i="2"/>
  <c r="K797" i="2"/>
  <c r="I840" i="2"/>
  <c r="J840" i="2"/>
  <c r="I935" i="2"/>
  <c r="J935" i="2"/>
  <c r="J814" i="2"/>
  <c r="I814" i="2"/>
  <c r="K814" i="2" s="1"/>
  <c r="F824" i="2"/>
  <c r="H815" i="2"/>
  <c r="G815" i="2"/>
  <c r="F832" i="2"/>
  <c r="J806" i="2"/>
  <c r="I806" i="2"/>
  <c r="H898" i="2"/>
  <c r="G898" i="2"/>
  <c r="F1000" i="2"/>
  <c r="J982" i="2"/>
  <c r="I982" i="2"/>
  <c r="J898" i="2" l="1"/>
  <c r="K935" i="2"/>
  <c r="K982" i="2"/>
  <c r="K840" i="2"/>
  <c r="K806" i="2"/>
  <c r="F848" i="2"/>
  <c r="H836" i="2"/>
  <c r="G836" i="2"/>
  <c r="K818" i="2"/>
  <c r="J830" i="2"/>
  <c r="I830" i="2"/>
  <c r="K619" i="2"/>
  <c r="G631" i="2"/>
  <c r="H631" i="2" s="1"/>
  <c r="F637" i="2"/>
  <c r="J625" i="2"/>
  <c r="I625" i="2"/>
  <c r="G852" i="2"/>
  <c r="H852" i="2"/>
  <c r="F858" i="2"/>
  <c r="G855" i="2"/>
  <c r="H855" i="2"/>
  <c r="F861" i="2"/>
  <c r="H953" i="2"/>
  <c r="G953" i="2"/>
  <c r="F965" i="2"/>
  <c r="I846" i="2"/>
  <c r="J846" i="2"/>
  <c r="J849" i="2"/>
  <c r="I849" i="2"/>
  <c r="J947" i="2"/>
  <c r="I947" i="2"/>
  <c r="K947" i="2" s="1"/>
  <c r="I898" i="2"/>
  <c r="F833" i="2"/>
  <c r="G824" i="2"/>
  <c r="H824" i="2"/>
  <c r="G832" i="2"/>
  <c r="H832" i="2"/>
  <c r="J815" i="2"/>
  <c r="I815" i="2"/>
  <c r="F916" i="2"/>
  <c r="G1000" i="2"/>
  <c r="H1000" i="2"/>
  <c r="K830" i="2" l="1"/>
  <c r="K849" i="2"/>
  <c r="K898" i="2"/>
  <c r="K846" i="2"/>
  <c r="F854" i="2"/>
  <c r="G848" i="2"/>
  <c r="H848" i="2"/>
  <c r="I836" i="2"/>
  <c r="J836" i="2"/>
  <c r="K625" i="2"/>
  <c r="F643" i="2"/>
  <c r="G637" i="2"/>
  <c r="H637" i="2" s="1"/>
  <c r="J631" i="2"/>
  <c r="I631" i="2"/>
  <c r="G858" i="2"/>
  <c r="H858" i="2"/>
  <c r="F864" i="2"/>
  <c r="G861" i="2"/>
  <c r="H861" i="2"/>
  <c r="F867" i="2"/>
  <c r="G965" i="2"/>
  <c r="H965" i="2"/>
  <c r="F971" i="2"/>
  <c r="I852" i="2"/>
  <c r="J852" i="2"/>
  <c r="I855" i="2"/>
  <c r="J855" i="2"/>
  <c r="I953" i="2"/>
  <c r="J953" i="2"/>
  <c r="F842" i="2"/>
  <c r="H833" i="2"/>
  <c r="G833" i="2"/>
  <c r="F850" i="2"/>
  <c r="K815" i="2"/>
  <c r="J824" i="2"/>
  <c r="I824" i="2"/>
  <c r="I832" i="2"/>
  <c r="J832" i="2"/>
  <c r="G916" i="2"/>
  <c r="H916" i="2"/>
  <c r="J1000" i="2"/>
  <c r="I1000" i="2"/>
  <c r="K824" i="2" l="1"/>
  <c r="K852" i="2"/>
  <c r="K1000" i="2"/>
  <c r="G854" i="2"/>
  <c r="H854" i="2"/>
  <c r="F866" i="2"/>
  <c r="K836" i="2"/>
  <c r="J848" i="2"/>
  <c r="I848" i="2"/>
  <c r="K631" i="2"/>
  <c r="F649" i="2"/>
  <c r="G643" i="2"/>
  <c r="H643" i="2" s="1"/>
  <c r="J637" i="2"/>
  <c r="I637" i="2"/>
  <c r="H864" i="2"/>
  <c r="G864" i="2"/>
  <c r="F870" i="2"/>
  <c r="G867" i="2"/>
  <c r="H867" i="2"/>
  <c r="F873" i="2"/>
  <c r="G971" i="2"/>
  <c r="H971" i="2"/>
  <c r="F983" i="2"/>
  <c r="K855" i="2"/>
  <c r="K953" i="2"/>
  <c r="J858" i="2"/>
  <c r="I858" i="2"/>
  <c r="J861" i="2"/>
  <c r="I861" i="2"/>
  <c r="K861" i="2" s="1"/>
  <c r="J965" i="2"/>
  <c r="I965" i="2"/>
  <c r="K832" i="2"/>
  <c r="F851" i="2"/>
  <c r="H842" i="2"/>
  <c r="G842" i="2"/>
  <c r="G850" i="2"/>
  <c r="H850" i="2"/>
  <c r="I833" i="2"/>
  <c r="J833" i="2"/>
  <c r="F934" i="2"/>
  <c r="J916" i="2"/>
  <c r="I916" i="2"/>
  <c r="K916" i="2" l="1"/>
  <c r="K848" i="2"/>
  <c r="K965" i="2"/>
  <c r="K858" i="2"/>
  <c r="F872" i="2"/>
  <c r="G866" i="2"/>
  <c r="H866" i="2"/>
  <c r="I854" i="2"/>
  <c r="J854" i="2"/>
  <c r="K637" i="2"/>
  <c r="G649" i="2"/>
  <c r="H649" i="2" s="1"/>
  <c r="F655" i="2"/>
  <c r="I643" i="2"/>
  <c r="J643" i="2"/>
  <c r="H870" i="2"/>
  <c r="G870" i="2"/>
  <c r="F876" i="2"/>
  <c r="H873" i="2"/>
  <c r="G873" i="2"/>
  <c r="F879" i="2"/>
  <c r="H983" i="2"/>
  <c r="G983" i="2"/>
  <c r="F989" i="2"/>
  <c r="J864" i="2"/>
  <c r="I864" i="2"/>
  <c r="J867" i="2"/>
  <c r="I867" i="2"/>
  <c r="I971" i="2"/>
  <c r="J971" i="2"/>
  <c r="K833" i="2"/>
  <c r="F860" i="2"/>
  <c r="G851" i="2"/>
  <c r="H851" i="2"/>
  <c r="F868" i="2"/>
  <c r="I842" i="2"/>
  <c r="J842" i="2"/>
  <c r="I850" i="2"/>
  <c r="J850" i="2"/>
  <c r="G934" i="2"/>
  <c r="H934" i="2"/>
  <c r="K867" i="2" l="1"/>
  <c r="K864" i="2"/>
  <c r="K971" i="2"/>
  <c r="K854" i="2"/>
  <c r="F884" i="2"/>
  <c r="H872" i="2"/>
  <c r="G872" i="2"/>
  <c r="J866" i="2"/>
  <c r="I866" i="2"/>
  <c r="K643" i="2"/>
  <c r="F661" i="2"/>
  <c r="G655" i="2"/>
  <c r="H655" i="2" s="1"/>
  <c r="I649" i="2"/>
  <c r="J649" i="2"/>
  <c r="G876" i="2"/>
  <c r="H876" i="2"/>
  <c r="F882" i="2"/>
  <c r="H879" i="2"/>
  <c r="G879" i="2"/>
  <c r="F885" i="2"/>
  <c r="G989" i="2"/>
  <c r="H989" i="2"/>
  <c r="F1001" i="2"/>
  <c r="F1007" i="2"/>
  <c r="J934" i="2"/>
  <c r="I870" i="2"/>
  <c r="J870" i="2"/>
  <c r="J873" i="2"/>
  <c r="I873" i="2"/>
  <c r="J983" i="2"/>
  <c r="I983" i="2"/>
  <c r="K850" i="2"/>
  <c r="K842" i="2"/>
  <c r="I934" i="2"/>
  <c r="I851" i="2"/>
  <c r="J851" i="2"/>
  <c r="F869" i="2"/>
  <c r="G860" i="2"/>
  <c r="H860" i="2"/>
  <c r="G868" i="2"/>
  <c r="H868" i="2"/>
  <c r="F952" i="2"/>
  <c r="K866" i="2" l="1"/>
  <c r="K873" i="2"/>
  <c r="F890" i="2"/>
  <c r="H884" i="2"/>
  <c r="G884" i="2"/>
  <c r="I872" i="2"/>
  <c r="J872" i="2"/>
  <c r="K649" i="2"/>
  <c r="F667" i="2"/>
  <c r="G661" i="2"/>
  <c r="H661" i="2" s="1"/>
  <c r="I655" i="2"/>
  <c r="J655" i="2"/>
  <c r="H882" i="2"/>
  <c r="G882" i="2"/>
  <c r="F888" i="2"/>
  <c r="H885" i="2"/>
  <c r="G885" i="2"/>
  <c r="F891" i="2"/>
  <c r="H1001" i="2"/>
  <c r="G1001" i="2"/>
  <c r="H1007" i="2"/>
  <c r="G1007" i="2"/>
  <c r="K870" i="2"/>
  <c r="K983" i="2"/>
  <c r="K934" i="2"/>
  <c r="J876" i="2"/>
  <c r="I876" i="2"/>
  <c r="J879" i="2"/>
  <c r="I879" i="2"/>
  <c r="J989" i="2"/>
  <c r="I989" i="2"/>
  <c r="K851" i="2"/>
  <c r="J860" i="2"/>
  <c r="I868" i="2"/>
  <c r="I860" i="2"/>
  <c r="K860" i="2" s="1"/>
  <c r="J868" i="2"/>
  <c r="F878" i="2"/>
  <c r="H869" i="2"/>
  <c r="G869" i="2"/>
  <c r="F886" i="2"/>
  <c r="G952" i="2"/>
  <c r="H952" i="2"/>
  <c r="K879" i="2" l="1"/>
  <c r="K868" i="2"/>
  <c r="K876" i="2"/>
  <c r="K989" i="2"/>
  <c r="K872" i="2"/>
  <c r="F902" i="2"/>
  <c r="H890" i="2"/>
  <c r="G890" i="2"/>
  <c r="I884" i="2"/>
  <c r="J884" i="2"/>
  <c r="G667" i="2"/>
  <c r="H667" i="2" s="1"/>
  <c r="F673" i="2"/>
  <c r="K655" i="2"/>
  <c r="I661" i="2"/>
  <c r="J661" i="2"/>
  <c r="G888" i="2"/>
  <c r="H888" i="2"/>
  <c r="F894" i="2"/>
  <c r="G891" i="2"/>
  <c r="H891" i="2"/>
  <c r="F897" i="2"/>
  <c r="J952" i="2"/>
  <c r="J882" i="2"/>
  <c r="I882" i="2"/>
  <c r="I885" i="2"/>
  <c r="J885" i="2"/>
  <c r="J1001" i="2"/>
  <c r="I1001" i="2"/>
  <c r="J1007" i="2"/>
  <c r="I1007" i="2"/>
  <c r="I952" i="2"/>
  <c r="J869" i="2"/>
  <c r="I869" i="2"/>
  <c r="K869" i="2" s="1"/>
  <c r="F887" i="2"/>
  <c r="G878" i="2"/>
  <c r="H878" i="2"/>
  <c r="H886" i="2"/>
  <c r="G886" i="2"/>
  <c r="F970" i="2"/>
  <c r="K882" i="2" l="1"/>
  <c r="K1001" i="2"/>
  <c r="K884" i="2"/>
  <c r="K952" i="2"/>
  <c r="K885" i="2"/>
  <c r="K1007" i="2"/>
  <c r="F908" i="2"/>
  <c r="G902" i="2"/>
  <c r="H902" i="2"/>
  <c r="J890" i="2"/>
  <c r="I890" i="2"/>
  <c r="G673" i="2"/>
  <c r="H673" i="2" s="1"/>
  <c r="F679" i="2"/>
  <c r="K661" i="2"/>
  <c r="J667" i="2"/>
  <c r="I667" i="2"/>
  <c r="H894" i="2"/>
  <c r="G894" i="2"/>
  <c r="F900" i="2"/>
  <c r="G897" i="2"/>
  <c r="H897" i="2"/>
  <c r="F903" i="2"/>
  <c r="J888" i="2"/>
  <c r="I888" i="2"/>
  <c r="K888" i="2" s="1"/>
  <c r="I891" i="2"/>
  <c r="J891" i="2"/>
  <c r="F896" i="2"/>
  <c r="G887" i="2"/>
  <c r="H887" i="2"/>
  <c r="F904" i="2"/>
  <c r="J886" i="2"/>
  <c r="I886" i="2"/>
  <c r="I878" i="2"/>
  <c r="J878" i="2"/>
  <c r="G970" i="2"/>
  <c r="H970" i="2"/>
  <c r="K890" i="2" l="1"/>
  <c r="I887" i="2"/>
  <c r="F920" i="2"/>
  <c r="H908" i="2"/>
  <c r="G908" i="2"/>
  <c r="J902" i="2"/>
  <c r="I902" i="2"/>
  <c r="K667" i="2"/>
  <c r="G679" i="2"/>
  <c r="H679" i="2" s="1"/>
  <c r="F685" i="2"/>
  <c r="J673" i="2"/>
  <c r="I673" i="2"/>
  <c r="G900" i="2"/>
  <c r="H900" i="2"/>
  <c r="F906" i="2"/>
  <c r="H903" i="2"/>
  <c r="G903" i="2"/>
  <c r="F909" i="2"/>
  <c r="K891" i="2"/>
  <c r="J894" i="2"/>
  <c r="I894" i="2"/>
  <c r="J897" i="2"/>
  <c r="I897" i="2"/>
  <c r="K886" i="2"/>
  <c r="K878" i="2"/>
  <c r="J887" i="2"/>
  <c r="G896" i="2"/>
  <c r="H896" i="2"/>
  <c r="F905" i="2"/>
  <c r="H904" i="2"/>
  <c r="G904" i="2"/>
  <c r="F988" i="2"/>
  <c r="J970" i="2"/>
  <c r="I970" i="2"/>
  <c r="K970" i="2" s="1"/>
  <c r="K887" i="2" l="1"/>
  <c r="K897" i="2"/>
  <c r="I900" i="2"/>
  <c r="K902" i="2"/>
  <c r="F926" i="2"/>
  <c r="G920" i="2"/>
  <c r="H920" i="2"/>
  <c r="I908" i="2"/>
  <c r="J908" i="2"/>
  <c r="K673" i="2"/>
  <c r="G685" i="2"/>
  <c r="H685" i="2" s="1"/>
  <c r="F691" i="2"/>
  <c r="J679" i="2"/>
  <c r="I679" i="2"/>
  <c r="G906" i="2"/>
  <c r="H906" i="2"/>
  <c r="F912" i="2"/>
  <c r="H909" i="2"/>
  <c r="G909" i="2"/>
  <c r="F915" i="2"/>
  <c r="J900" i="2"/>
  <c r="K894" i="2"/>
  <c r="J904" i="2"/>
  <c r="J903" i="2"/>
  <c r="I903" i="2"/>
  <c r="I896" i="2"/>
  <c r="G905" i="2"/>
  <c r="H905" i="2"/>
  <c r="F914" i="2"/>
  <c r="I904" i="2"/>
  <c r="F922" i="2"/>
  <c r="J896" i="2"/>
  <c r="G988" i="2"/>
  <c r="H988" i="2"/>
  <c r="K903" i="2" l="1"/>
  <c r="K900" i="2"/>
  <c r="K904" i="2"/>
  <c r="F938" i="2"/>
  <c r="G926" i="2"/>
  <c r="H926" i="2"/>
  <c r="K908" i="2"/>
  <c r="J920" i="2"/>
  <c r="I920" i="2"/>
  <c r="K920" i="2" s="1"/>
  <c r="K679" i="2"/>
  <c r="F697" i="2"/>
  <c r="G691" i="2"/>
  <c r="H691" i="2" s="1"/>
  <c r="I685" i="2"/>
  <c r="J685" i="2"/>
  <c r="G912" i="2"/>
  <c r="H912" i="2"/>
  <c r="F918" i="2"/>
  <c r="H915" i="2"/>
  <c r="G915" i="2"/>
  <c r="F921" i="2"/>
  <c r="I906" i="2"/>
  <c r="J906" i="2"/>
  <c r="J909" i="2"/>
  <c r="I909" i="2"/>
  <c r="K896" i="2"/>
  <c r="F923" i="2"/>
  <c r="H914" i="2"/>
  <c r="G914" i="2"/>
  <c r="G922" i="2"/>
  <c r="H922" i="2"/>
  <c r="I905" i="2"/>
  <c r="J905" i="2"/>
  <c r="F1006" i="2"/>
  <c r="J988" i="2"/>
  <c r="I988" i="2"/>
  <c r="K909" i="2" l="1"/>
  <c r="H938" i="2"/>
  <c r="G938" i="2"/>
  <c r="F944" i="2"/>
  <c r="I926" i="2"/>
  <c r="J926" i="2"/>
  <c r="J691" i="2"/>
  <c r="I691" i="2"/>
  <c r="F703" i="2"/>
  <c r="G697" i="2"/>
  <c r="H697" i="2" s="1"/>
  <c r="K685" i="2"/>
  <c r="H918" i="2"/>
  <c r="G918" i="2"/>
  <c r="F924" i="2"/>
  <c r="H921" i="2"/>
  <c r="G921" i="2"/>
  <c r="F927" i="2"/>
  <c r="K906" i="2"/>
  <c r="I912" i="2"/>
  <c r="J912" i="2"/>
  <c r="J915" i="2"/>
  <c r="I915" i="2"/>
  <c r="K915" i="2" s="1"/>
  <c r="K988" i="2"/>
  <c r="F932" i="2"/>
  <c r="G923" i="2"/>
  <c r="H923" i="2"/>
  <c r="F940" i="2"/>
  <c r="K905" i="2"/>
  <c r="J914" i="2"/>
  <c r="I914" i="2"/>
  <c r="K914" i="2" s="1"/>
  <c r="J922" i="2"/>
  <c r="I922" i="2"/>
  <c r="G1006" i="2"/>
  <c r="H1006" i="2"/>
  <c r="F956" i="2" l="1"/>
  <c r="G944" i="2"/>
  <c r="H944" i="2"/>
  <c r="K926" i="2"/>
  <c r="J938" i="2"/>
  <c r="I938" i="2"/>
  <c r="K691" i="2"/>
  <c r="G703" i="2"/>
  <c r="H703" i="2" s="1"/>
  <c r="F709" i="2"/>
  <c r="J697" i="2"/>
  <c r="I697" i="2"/>
  <c r="H924" i="2"/>
  <c r="G924" i="2"/>
  <c r="F930" i="2"/>
  <c r="H927" i="2"/>
  <c r="G927" i="2"/>
  <c r="F933" i="2"/>
  <c r="K912" i="2"/>
  <c r="J923" i="2"/>
  <c r="I918" i="2"/>
  <c r="J918" i="2"/>
  <c r="I921" i="2"/>
  <c r="J921" i="2"/>
  <c r="K922" i="2"/>
  <c r="J1006" i="2"/>
  <c r="I923" i="2"/>
  <c r="F941" i="2"/>
  <c r="G932" i="2"/>
  <c r="H932" i="2"/>
  <c r="H940" i="2"/>
  <c r="G940" i="2"/>
  <c r="I1006" i="2"/>
  <c r="K923" i="2" l="1"/>
  <c r="K921" i="2"/>
  <c r="K938" i="2"/>
  <c r="J927" i="2"/>
  <c r="I927" i="2"/>
  <c r="F962" i="2"/>
  <c r="H956" i="2"/>
  <c r="G956" i="2"/>
  <c r="I944" i="2"/>
  <c r="J944" i="2"/>
  <c r="I703" i="2"/>
  <c r="K697" i="2"/>
  <c r="J703" i="2"/>
  <c r="F715" i="2"/>
  <c r="G709" i="2"/>
  <c r="H709" i="2" s="1"/>
  <c r="G930" i="2"/>
  <c r="H930" i="2"/>
  <c r="F936" i="2"/>
  <c r="H933" i="2"/>
  <c r="G933" i="2"/>
  <c r="F939" i="2"/>
  <c r="K1006" i="2"/>
  <c r="K918" i="2"/>
  <c r="J924" i="2"/>
  <c r="I924" i="2"/>
  <c r="I932" i="2"/>
  <c r="F950" i="2"/>
  <c r="G941" i="2"/>
  <c r="H941" i="2"/>
  <c r="F958" i="2"/>
  <c r="J932" i="2"/>
  <c r="J940" i="2"/>
  <c r="I940" i="2"/>
  <c r="K940" i="2" s="1"/>
  <c r="K927" i="2" l="1"/>
  <c r="K944" i="2"/>
  <c r="J933" i="2"/>
  <c r="I933" i="2"/>
  <c r="K933" i="2" s="1"/>
  <c r="F974" i="2"/>
  <c r="H962" i="2"/>
  <c r="G962" i="2"/>
  <c r="I956" i="2"/>
  <c r="J956" i="2"/>
  <c r="K703" i="2"/>
  <c r="F721" i="2"/>
  <c r="G715" i="2"/>
  <c r="H715" i="2" s="1"/>
  <c r="J709" i="2"/>
  <c r="I709" i="2"/>
  <c r="H936" i="2"/>
  <c r="G936" i="2"/>
  <c r="F942" i="2"/>
  <c r="H939" i="2"/>
  <c r="G939" i="2"/>
  <c r="F945" i="2"/>
  <c r="K924" i="2"/>
  <c r="J930" i="2"/>
  <c r="I930" i="2"/>
  <c r="G950" i="2"/>
  <c r="H950" i="2"/>
  <c r="F959" i="2"/>
  <c r="G958" i="2"/>
  <c r="H958" i="2"/>
  <c r="K932" i="2"/>
  <c r="I941" i="2"/>
  <c r="J941" i="2"/>
  <c r="K930" i="2" l="1"/>
  <c r="K956" i="2"/>
  <c r="F980" i="2"/>
  <c r="G974" i="2"/>
  <c r="H974" i="2"/>
  <c r="J974" i="2" s="1"/>
  <c r="J962" i="2"/>
  <c r="I962" i="2"/>
  <c r="K962" i="2" s="1"/>
  <c r="K709" i="2"/>
  <c r="F727" i="2"/>
  <c r="G721" i="2"/>
  <c r="H721" i="2" s="1"/>
  <c r="I715" i="2"/>
  <c r="J715" i="2"/>
  <c r="H942" i="2"/>
  <c r="G942" i="2"/>
  <c r="F948" i="2"/>
  <c r="G945" i="2"/>
  <c r="H945" i="2"/>
  <c r="F951" i="2"/>
  <c r="J936" i="2"/>
  <c r="I936" i="2"/>
  <c r="I939" i="2"/>
  <c r="J939" i="2"/>
  <c r="I958" i="2"/>
  <c r="J958" i="2"/>
  <c r="F968" i="2"/>
  <c r="G959" i="2"/>
  <c r="H959" i="2"/>
  <c r="F976" i="2"/>
  <c r="K941" i="2"/>
  <c r="J950" i="2"/>
  <c r="I950" i="2"/>
  <c r="K950" i="2" s="1"/>
  <c r="K936" i="2" l="1"/>
  <c r="K958" i="2"/>
  <c r="K939" i="2"/>
  <c r="J945" i="2"/>
  <c r="F992" i="2"/>
  <c r="G980" i="2"/>
  <c r="H980" i="2"/>
  <c r="I974" i="2"/>
  <c r="K974" i="2" s="1"/>
  <c r="F733" i="2"/>
  <c r="G727" i="2"/>
  <c r="H727" i="2" s="1"/>
  <c r="K715" i="2"/>
  <c r="J721" i="2"/>
  <c r="I721" i="2"/>
  <c r="H948" i="2"/>
  <c r="G948" i="2"/>
  <c r="F954" i="2"/>
  <c r="H951" i="2"/>
  <c r="G951" i="2"/>
  <c r="F957" i="2"/>
  <c r="I945" i="2"/>
  <c r="I942" i="2"/>
  <c r="J942" i="2"/>
  <c r="J959" i="2"/>
  <c r="I959" i="2"/>
  <c r="G968" i="2"/>
  <c r="H968" i="2"/>
  <c r="F977" i="2"/>
  <c r="G976" i="2"/>
  <c r="H976" i="2"/>
  <c r="K945" i="2" l="1"/>
  <c r="K942" i="2"/>
  <c r="F998" i="2"/>
  <c r="F1010" i="2"/>
  <c r="G992" i="2"/>
  <c r="H992" i="2"/>
  <c r="J980" i="2"/>
  <c r="I980" i="2"/>
  <c r="K980" i="2" s="1"/>
  <c r="K721" i="2"/>
  <c r="F739" i="2"/>
  <c r="G733" i="2"/>
  <c r="H733" i="2" s="1"/>
  <c r="I727" i="2"/>
  <c r="J727" i="2"/>
  <c r="H954" i="2"/>
  <c r="G954" i="2"/>
  <c r="F960" i="2"/>
  <c r="H957" i="2"/>
  <c r="G957" i="2"/>
  <c r="F963" i="2"/>
  <c r="I948" i="2"/>
  <c r="J948" i="2"/>
  <c r="I951" i="2"/>
  <c r="J951" i="2"/>
  <c r="K959" i="2"/>
  <c r="G977" i="2"/>
  <c r="H977" i="2"/>
  <c r="F986" i="2"/>
  <c r="F994" i="2"/>
  <c r="I968" i="2"/>
  <c r="J968" i="2"/>
  <c r="J976" i="2"/>
  <c r="I976" i="2"/>
  <c r="K976" i="2" l="1"/>
  <c r="K948" i="2"/>
  <c r="H998" i="2"/>
  <c r="G998" i="2"/>
  <c r="G1010" i="2"/>
  <c r="H1010" i="2"/>
  <c r="J992" i="2"/>
  <c r="I992" i="2"/>
  <c r="F745" i="2"/>
  <c r="G739" i="2"/>
  <c r="H739" i="2" s="1"/>
  <c r="K727" i="2"/>
  <c r="I733" i="2"/>
  <c r="J733" i="2"/>
  <c r="H960" i="2"/>
  <c r="G960" i="2"/>
  <c r="F966" i="2"/>
  <c r="H963" i="2"/>
  <c r="G963" i="2"/>
  <c r="F969" i="2"/>
  <c r="K951" i="2"/>
  <c r="I954" i="2"/>
  <c r="J954" i="2"/>
  <c r="J957" i="2"/>
  <c r="I957" i="2"/>
  <c r="F1004" i="2"/>
  <c r="F995" i="2"/>
  <c r="G986" i="2"/>
  <c r="H986" i="2"/>
  <c r="G994" i="2"/>
  <c r="H994" i="2"/>
  <c r="K968" i="2"/>
  <c r="J977" i="2"/>
  <c r="I977" i="2"/>
  <c r="K992" i="2" l="1"/>
  <c r="I998" i="2"/>
  <c r="J998" i="2"/>
  <c r="I1010" i="2"/>
  <c r="J1010" i="2"/>
  <c r="K733" i="2"/>
  <c r="F751" i="2"/>
  <c r="G745" i="2"/>
  <c r="H745" i="2"/>
  <c r="J739" i="2"/>
  <c r="I739" i="2"/>
  <c r="G966" i="2"/>
  <c r="H966" i="2"/>
  <c r="F972" i="2"/>
  <c r="H969" i="2"/>
  <c r="G969" i="2"/>
  <c r="F975" i="2"/>
  <c r="K954" i="2"/>
  <c r="K957" i="2"/>
  <c r="I960" i="2"/>
  <c r="J960" i="2"/>
  <c r="I963" i="2"/>
  <c r="J963" i="2"/>
  <c r="G1004" i="2"/>
  <c r="H1004" i="2"/>
  <c r="H995" i="2"/>
  <c r="G995" i="2"/>
  <c r="F1012" i="2"/>
  <c r="J986" i="2"/>
  <c r="I986" i="2"/>
  <c r="I994" i="2"/>
  <c r="J994" i="2"/>
  <c r="K977" i="2"/>
  <c r="K1010" i="2" l="1"/>
  <c r="K998" i="2"/>
  <c r="K739" i="2"/>
  <c r="F757" i="2"/>
  <c r="G751" i="2"/>
  <c r="H751" i="2"/>
  <c r="I745" i="2"/>
  <c r="J745" i="2"/>
  <c r="H972" i="2"/>
  <c r="G972" i="2"/>
  <c r="F978" i="2"/>
  <c r="H975" i="2"/>
  <c r="G975" i="2"/>
  <c r="F981" i="2"/>
  <c r="K960" i="2"/>
  <c r="K963" i="2"/>
  <c r="J966" i="2"/>
  <c r="I966" i="2"/>
  <c r="I969" i="2"/>
  <c r="J969" i="2"/>
  <c r="K986" i="2"/>
  <c r="H1012" i="2"/>
  <c r="G1012" i="2"/>
  <c r="K994" i="2"/>
  <c r="J1004" i="2"/>
  <c r="I1004" i="2"/>
  <c r="I995" i="2"/>
  <c r="J995" i="2"/>
  <c r="K1004" i="2" l="1"/>
  <c r="K966" i="2"/>
  <c r="G757" i="2"/>
  <c r="H757" i="2" s="1"/>
  <c r="F763" i="2"/>
  <c r="K745" i="2"/>
  <c r="J751" i="2"/>
  <c r="I751" i="2"/>
  <c r="H978" i="2"/>
  <c r="G978" i="2"/>
  <c r="F984" i="2"/>
  <c r="G981" i="2"/>
  <c r="H981" i="2"/>
  <c r="F987" i="2"/>
  <c r="K969" i="2"/>
  <c r="I972" i="2"/>
  <c r="J972" i="2"/>
  <c r="I975" i="2"/>
  <c r="J975" i="2"/>
  <c r="K995" i="2"/>
  <c r="J1012" i="2"/>
  <c r="I1012" i="2"/>
  <c r="F769" i="2" l="1"/>
  <c r="G763" i="2"/>
  <c r="H763" i="2" s="1"/>
  <c r="K751" i="2"/>
  <c r="I757" i="2"/>
  <c r="J757" i="2"/>
  <c r="G984" i="2"/>
  <c r="H984" i="2"/>
  <c r="F990" i="2"/>
  <c r="G987" i="2"/>
  <c r="H987" i="2"/>
  <c r="F993" i="2"/>
  <c r="K972" i="2"/>
  <c r="K975" i="2"/>
  <c r="I978" i="2"/>
  <c r="J978" i="2"/>
  <c r="J981" i="2"/>
  <c r="I981" i="2"/>
  <c r="K1012" i="2"/>
  <c r="K981" i="2" l="1"/>
  <c r="K978" i="2"/>
  <c r="K757" i="2"/>
  <c r="F775" i="2"/>
  <c r="G769" i="2"/>
  <c r="H769" i="2" s="1"/>
  <c r="J763" i="2"/>
  <c r="I763" i="2"/>
  <c r="G990" i="2"/>
  <c r="H990" i="2"/>
  <c r="F996" i="2"/>
  <c r="G993" i="2"/>
  <c r="H993" i="2"/>
  <c r="F999" i="2"/>
  <c r="I984" i="2"/>
  <c r="J984" i="2"/>
  <c r="I987" i="2"/>
  <c r="J987" i="2"/>
  <c r="K763" i="2" l="1"/>
  <c r="F781" i="2"/>
  <c r="G775" i="2"/>
  <c r="H775" i="2" s="1"/>
  <c r="J769" i="2"/>
  <c r="I769" i="2"/>
  <c r="H996" i="2"/>
  <c r="G996" i="2"/>
  <c r="F1002" i="2"/>
  <c r="H999" i="2"/>
  <c r="G999" i="2"/>
  <c r="F1005" i="2"/>
  <c r="F1011" i="2"/>
  <c r="K984" i="2"/>
  <c r="K987" i="2"/>
  <c r="I990" i="2"/>
  <c r="J990" i="2"/>
  <c r="J993" i="2"/>
  <c r="I993" i="2"/>
  <c r="K769" i="2" l="1"/>
  <c r="F787" i="2"/>
  <c r="G781" i="2"/>
  <c r="H781" i="2"/>
  <c r="J775" i="2"/>
  <c r="I775" i="2"/>
  <c r="H1002" i="2"/>
  <c r="G1002" i="2"/>
  <c r="F1008" i="2"/>
  <c r="H1005" i="2"/>
  <c r="G1005" i="2"/>
  <c r="G1011" i="2"/>
  <c r="H1011" i="2"/>
  <c r="K990" i="2"/>
  <c r="J996" i="2"/>
  <c r="I996" i="2"/>
  <c r="I999" i="2"/>
  <c r="J999" i="2"/>
  <c r="K993" i="2"/>
  <c r="K775" i="2" l="1"/>
  <c r="G787" i="2"/>
  <c r="H787" i="2" s="1"/>
  <c r="F793" i="2"/>
  <c r="I781" i="2"/>
  <c r="J781" i="2"/>
  <c r="G1008" i="2"/>
  <c r="H1008" i="2"/>
  <c r="K996" i="2"/>
  <c r="K999" i="2"/>
  <c r="J1002" i="2"/>
  <c r="I1002" i="2"/>
  <c r="I1005" i="2"/>
  <c r="J1005" i="2"/>
  <c r="I1011" i="2"/>
  <c r="J1011" i="2"/>
  <c r="I1008" i="2" l="1"/>
  <c r="K1005" i="2"/>
  <c r="J1008" i="2"/>
  <c r="K781" i="2"/>
  <c r="F799" i="2"/>
  <c r="G793" i="2"/>
  <c r="H793" i="2"/>
  <c r="J787" i="2"/>
  <c r="I787" i="2"/>
  <c r="K1011" i="2"/>
  <c r="K1002" i="2"/>
  <c r="K1008" i="2" l="1"/>
  <c r="K787" i="2"/>
  <c r="F805" i="2"/>
  <c r="G799" i="2"/>
  <c r="H799" i="2"/>
  <c r="I793" i="2"/>
  <c r="J793" i="2"/>
  <c r="K793" i="2" l="1"/>
  <c r="F811" i="2"/>
  <c r="G805" i="2"/>
  <c r="H805" i="2"/>
  <c r="J799" i="2"/>
  <c r="I799" i="2"/>
  <c r="K799" i="2" l="1"/>
  <c r="F817" i="2"/>
  <c r="H811" i="2"/>
  <c r="G811" i="2"/>
  <c r="I805" i="2"/>
  <c r="J805" i="2"/>
  <c r="K805" i="2" l="1"/>
  <c r="G817" i="2"/>
  <c r="H817" i="2"/>
  <c r="F823" i="2"/>
  <c r="J811" i="2"/>
  <c r="I811" i="2"/>
  <c r="K811" i="2" l="1"/>
  <c r="G823" i="2"/>
  <c r="H823" i="2"/>
  <c r="F829" i="2"/>
  <c r="I817" i="2"/>
  <c r="J817" i="2"/>
  <c r="K817" i="2" l="1"/>
  <c r="F835" i="2"/>
  <c r="G829" i="2"/>
  <c r="H829" i="2"/>
  <c r="I823" i="2"/>
  <c r="J823" i="2"/>
  <c r="I829" i="2" l="1"/>
  <c r="J829" i="2"/>
  <c r="K823" i="2"/>
  <c r="G835" i="2"/>
  <c r="H835" i="2"/>
  <c r="F841" i="2"/>
  <c r="K829" i="2" l="1"/>
  <c r="I835" i="2"/>
  <c r="J835" i="2"/>
  <c r="F847" i="2"/>
  <c r="H841" i="2"/>
  <c r="G841" i="2"/>
  <c r="K835" i="2" l="1"/>
  <c r="H847" i="2"/>
  <c r="G847" i="2"/>
  <c r="F853" i="2"/>
  <c r="I841" i="2"/>
  <c r="J841" i="2"/>
  <c r="I847" i="2" l="1"/>
  <c r="J847" i="2"/>
  <c r="F859" i="2"/>
  <c r="G853" i="2"/>
  <c r="H853" i="2"/>
  <c r="K841" i="2"/>
  <c r="I853" i="2" l="1"/>
  <c r="K847" i="2"/>
  <c r="J853" i="2"/>
  <c r="F865" i="2"/>
  <c r="H859" i="2"/>
  <c r="G859" i="2"/>
  <c r="K853" i="2" l="1"/>
  <c r="G865" i="2"/>
  <c r="H865" i="2"/>
  <c r="F871" i="2"/>
  <c r="I859" i="2"/>
  <c r="J859" i="2"/>
  <c r="K859" i="2" l="1"/>
  <c r="H871" i="2"/>
  <c r="G871" i="2"/>
  <c r="F877" i="2"/>
  <c r="J865" i="2"/>
  <c r="I865" i="2"/>
  <c r="K865" i="2" l="1"/>
  <c r="J871" i="2"/>
  <c r="F883" i="2"/>
  <c r="H877" i="2"/>
  <c r="G877" i="2"/>
  <c r="I871" i="2"/>
  <c r="K871" i="2" l="1"/>
  <c r="F889" i="2"/>
  <c r="G883" i="2"/>
  <c r="H883" i="2"/>
  <c r="J877" i="2"/>
  <c r="I877" i="2"/>
  <c r="K877" i="2" l="1"/>
  <c r="F895" i="2"/>
  <c r="H889" i="2"/>
  <c r="G889" i="2"/>
  <c r="J883" i="2"/>
  <c r="I883" i="2"/>
  <c r="I889" i="2" l="1"/>
  <c r="K883" i="2"/>
  <c r="J889" i="2"/>
  <c r="F901" i="2"/>
  <c r="G895" i="2"/>
  <c r="H895" i="2"/>
  <c r="K889" i="2" l="1"/>
  <c r="F907" i="2"/>
  <c r="H901" i="2"/>
  <c r="G901" i="2"/>
  <c r="J895" i="2"/>
  <c r="I895" i="2"/>
  <c r="K895" i="2" l="1"/>
  <c r="F913" i="2"/>
  <c r="G907" i="2"/>
  <c r="H907" i="2"/>
  <c r="J901" i="2"/>
  <c r="I901" i="2"/>
  <c r="K901" i="2" l="1"/>
  <c r="F919" i="2"/>
  <c r="G913" i="2"/>
  <c r="H913" i="2"/>
  <c r="I907" i="2"/>
  <c r="J907" i="2"/>
  <c r="K907" i="2" l="1"/>
  <c r="F925" i="2"/>
  <c r="H919" i="2"/>
  <c r="G919" i="2"/>
  <c r="I913" i="2"/>
  <c r="J913" i="2"/>
  <c r="F931" i="2" l="1"/>
  <c r="H925" i="2"/>
  <c r="G925" i="2"/>
  <c r="K913" i="2"/>
  <c r="J919" i="2"/>
  <c r="I919" i="2"/>
  <c r="K919" i="2" l="1"/>
  <c r="J925" i="2"/>
  <c r="I925" i="2"/>
  <c r="F937" i="2"/>
  <c r="G931" i="2"/>
  <c r="H931" i="2"/>
  <c r="K925" i="2" l="1"/>
  <c r="J931" i="2"/>
  <c r="I931" i="2"/>
  <c r="F943" i="2"/>
  <c r="G937" i="2"/>
  <c r="H937" i="2"/>
  <c r="K931" i="2" l="1"/>
  <c r="F949" i="2"/>
  <c r="G943" i="2"/>
  <c r="H943" i="2"/>
  <c r="J937" i="2"/>
  <c r="I937" i="2"/>
  <c r="K937" i="2" l="1"/>
  <c r="H949" i="2"/>
  <c r="G949" i="2"/>
  <c r="F955" i="2"/>
  <c r="I943" i="2"/>
  <c r="J943" i="2"/>
  <c r="K943" i="2" l="1"/>
  <c r="F961" i="2"/>
  <c r="G955" i="2"/>
  <c r="H955" i="2"/>
  <c r="I949" i="2"/>
  <c r="J949" i="2"/>
  <c r="J955" i="2" l="1"/>
  <c r="I955" i="2"/>
  <c r="F967" i="2"/>
  <c r="G961" i="2"/>
  <c r="H961" i="2"/>
  <c r="K949" i="2"/>
  <c r="K955" i="2" l="1"/>
  <c r="F973" i="2"/>
  <c r="H967" i="2"/>
  <c r="G967" i="2"/>
  <c r="J961" i="2"/>
  <c r="I961" i="2"/>
  <c r="K961" i="2" l="1"/>
  <c r="F979" i="2"/>
  <c r="G973" i="2"/>
  <c r="H973" i="2"/>
  <c r="J967" i="2"/>
  <c r="I967" i="2"/>
  <c r="K967" i="2" l="1"/>
  <c r="F985" i="2"/>
  <c r="H979" i="2"/>
  <c r="G979" i="2"/>
  <c r="J973" i="2"/>
  <c r="I973" i="2"/>
  <c r="J979" i="2" l="1"/>
  <c r="K973" i="2"/>
  <c r="H985" i="2"/>
  <c r="G985" i="2"/>
  <c r="F991" i="2"/>
  <c r="I979" i="2"/>
  <c r="K979" i="2" l="1"/>
  <c r="F997" i="2"/>
  <c r="H991" i="2"/>
  <c r="G991" i="2"/>
  <c r="J985" i="2"/>
  <c r="I985" i="2"/>
  <c r="J991" i="2" l="1"/>
  <c r="F1003" i="2"/>
  <c r="H997" i="2"/>
  <c r="G997" i="2"/>
  <c r="I991" i="2"/>
  <c r="K985" i="2"/>
  <c r="J997" i="2" l="1"/>
  <c r="I997" i="2"/>
  <c r="H1003" i="2"/>
  <c r="G1003" i="2"/>
  <c r="F1009" i="2"/>
  <c r="E4" i="2"/>
  <c r="F4" i="2" s="1"/>
  <c r="E5" i="2"/>
  <c r="F5" i="2" s="1"/>
  <c r="K991" i="2"/>
  <c r="K997" i="2" l="1"/>
  <c r="J1003" i="2"/>
  <c r="I1003" i="2"/>
  <c r="G1009" i="2"/>
  <c r="H1009" i="2"/>
  <c r="H5" i="2" l="1"/>
  <c r="K1003" i="2"/>
  <c r="I1009" i="2"/>
  <c r="G5" i="2"/>
  <c r="G4" i="2"/>
  <c r="J1009" i="2"/>
  <c r="I5" i="2" l="1"/>
  <c r="J5" i="2"/>
  <c r="J4" i="2"/>
  <c r="K1009" i="2"/>
  <c r="K5" i="2" l="1"/>
  <c r="K4" i="2"/>
</calcChain>
</file>

<file path=xl/sharedStrings.xml><?xml version="1.0" encoding="utf-8"?>
<sst xmlns="http://schemas.openxmlformats.org/spreadsheetml/2006/main" count="76" uniqueCount="69">
  <si>
    <t>Asset value time 0</t>
  </si>
  <si>
    <t>Years</t>
  </si>
  <si>
    <t>Riskless rate</t>
  </si>
  <si>
    <t>z</t>
  </si>
  <si>
    <t>AT*</t>
  </si>
  <si>
    <t>Sigma</t>
  </si>
  <si>
    <t>DT*</t>
  </si>
  <si>
    <t>Tax rate</t>
  </si>
  <si>
    <t>GT</t>
  </si>
  <si>
    <t>ET*</t>
  </si>
  <si>
    <t>GT*</t>
  </si>
  <si>
    <t>Total</t>
  </si>
  <si>
    <t>DT</t>
  </si>
  <si>
    <t>ET</t>
  </si>
  <si>
    <t>ZT*</t>
  </si>
  <si>
    <t>ZT</t>
  </si>
  <si>
    <t>Waterfall rules</t>
  </si>
  <si>
    <t>"Equity is a call option on the assets of a firm"</t>
  </si>
  <si>
    <t>Asset</t>
  </si>
  <si>
    <t>Distress</t>
  </si>
  <si>
    <t>Debt</t>
  </si>
  <si>
    <t>Equity</t>
  </si>
  <si>
    <t>Gov't</t>
  </si>
  <si>
    <t>Liabilities</t>
  </si>
  <si>
    <t xml:space="preserve">Notes: </t>
  </si>
  <si>
    <t>AT = asset value at time T is lognormal</t>
  </si>
  <si>
    <t>Expected asset growth rate</t>
  </si>
  <si>
    <t xml:space="preserve"> z values are moment-matched and ranked</t>
  </si>
  <si>
    <t>*Distress loss cannot exceed debt face value</t>
  </si>
  <si>
    <t>correction if applicable</t>
  </si>
  <si>
    <t>Parameters</t>
  </si>
  <si>
    <t>AveragePV</t>
  </si>
  <si>
    <t>Summary statistics</t>
  </si>
  <si>
    <t>Maxerr(2sd)</t>
  </si>
  <si>
    <t>MERTON DEBT MODEL - Capital Structure with Financial Distress Costs and Taxes</t>
  </si>
  <si>
    <t>(1-tax) * (AT - DT - ZT)</t>
  </si>
  <si>
    <t>(tax) * (AT - DT - ZT)</t>
  </si>
  <si>
    <t>Distress loss in default (Z)</t>
  </si>
  <si>
    <t>Face value of ZCB debt (F)</t>
  </si>
  <si>
    <t>min(AT - ZT , F)</t>
  </si>
  <si>
    <t>min(Z, AT)* I(AT &lt; F)</t>
  </si>
  <si>
    <t>New Deal</t>
  </si>
  <si>
    <t>New deal</t>
  </si>
  <si>
    <t>NT*</t>
  </si>
  <si>
    <t>A+ND</t>
  </si>
  <si>
    <t>Simulate waterfall under the risk-neutral measure, for given F</t>
  </si>
  <si>
    <t>Value of Debt + Equity</t>
  </si>
  <si>
    <t>s</t>
  </si>
  <si>
    <t>LAST MINIPROJECT!</t>
  </si>
  <si>
    <t>Discount factor</t>
  </si>
  <si>
    <t>Assume your client is in the situation described by this spreadsheet.</t>
  </si>
  <si>
    <t>They want to maximize the sum of debt and equity values.</t>
  </si>
  <si>
    <t>Here are the assumptions</t>
  </si>
  <si>
    <t>- The company has no cash now, so any payments would have to be made at time T</t>
  </si>
  <si>
    <t xml:space="preserve">Can you design a transaction to maximize the value of the company?  </t>
  </si>
  <si>
    <t>- Assume that cash payments can be made to the company just before the debt is due.</t>
  </si>
  <si>
    <t>"New deal" investor minimum profit</t>
  </si>
  <si>
    <t>- Enter your new deal payments as formulas in the green area on page 2.</t>
  </si>
  <si>
    <t>- Write up your proposal to the company professionally, with a graph of your payment diagram</t>
  </si>
  <si>
    <t>- To make sense for the company, the value should increase once the new deal is incorporated.  Be sure to maximize!</t>
  </si>
  <si>
    <t>- The "New Deal" should indicate the contingent payment made for each possible asset value on page 2 of this Excel sheet.</t>
  </si>
  <si>
    <t>- You should have positive inflows for some outcomes, and negative outflows for other outcomes.</t>
  </si>
  <si>
    <t>- To make sense for the new deal investor, they have to do a fair valuation but also make a $10 present value profit.</t>
  </si>
  <si>
    <t xml:space="preserve">Payout </t>
  </si>
  <si>
    <t>Team</t>
  </si>
  <si>
    <t>Student1</t>
  </si>
  <si>
    <t>Student2</t>
  </si>
  <si>
    <t>Aman Dhillon</t>
  </si>
  <si>
    <t>Anmol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</si>
</sst>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000"/>
  </numFmts>
  <fonts count="10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2" fontId="0" fillId="0" borderId="0" xfId="0" applyNumberFormat="1"/>
    <xf numFmtId="10" fontId="0" fillId="0" borderId="0" xfId="0" applyNumberFormat="1"/>
    <xf numFmtId="0" fontId="1" fillId="0" borderId="0" xfId="0" applyFont="1"/>
    <xf numFmtId="0" fontId="0" fillId="0" borderId="0" xfId="0" quotePrefix="1"/>
    <xf numFmtId="0" fontId="2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1" fontId="0" fillId="0" borderId="0" xfId="0" applyNumberFormat="1"/>
    <xf numFmtId="2" fontId="0" fillId="2" borderId="0" xfId="0" applyNumberFormat="1" applyFill="1"/>
    <xf numFmtId="164" fontId="0" fillId="0" borderId="0" xfId="0" applyNumberFormat="1"/>
    <xf numFmtId="0" fontId="3" fillId="0" borderId="0" xfId="0" applyFont="1"/>
    <xf numFmtId="17" fontId="0" fillId="0" borderId="0" xfId="0" quotePrefix="1" applyNumberFormat="1" applyAlignment="1">
      <alignment horizontal="left"/>
    </xf>
    <xf numFmtId="2" fontId="4" fillId="0" borderId="0" xfId="0" applyNumberFormat="1" applyFont="1"/>
    <xf numFmtId="2" fontId="0" fillId="0" borderId="1" xfId="0" applyNumberFormat="1" applyBorder="1"/>
    <xf numFmtId="10" fontId="0" fillId="0" borderId="1" xfId="0" applyNumberFormat="1" applyBorder="1"/>
    <xf numFmtId="0" fontId="6" fillId="0" borderId="0" xfId="0" applyFont="1" applyAlignment="1">
      <alignment horizontal="right"/>
    </xf>
    <xf numFmtId="2" fontId="5" fillId="0" borderId="0" xfId="0" applyNumberFormat="1" applyFont="1"/>
    <xf numFmtId="2" fontId="0" fillId="3" borderId="0" xfId="0" applyNumberFormat="1" applyFill="1"/>
    <xf numFmtId="0" fontId="7" fillId="0" borderId="0" xfId="0" applyFont="1"/>
    <xf numFmtId="165" fontId="0" fillId="0" borderId="0" xfId="0" applyNumberFormat="1"/>
    <xf numFmtId="2" fontId="1" fillId="0" borderId="0" xfId="0" applyNumberFormat="1" applyFont="1"/>
    <xf numFmtId="0" fontId="8" fillId="4" borderId="2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 vertical="center"/>
    </xf>
    <xf numFmtId="0" fontId="8" fillId="5" borderId="4" xfId="0" applyFont="1" applyFill="1" applyBorder="1"/>
    <xf numFmtId="0" fontId="8" fillId="5" borderId="5" xfId="0" applyFont="1" applyFill="1" applyBorder="1"/>
    <xf numFmtId="0" fontId="8" fillId="5" borderId="6" xfId="0" applyFont="1" applyFill="1" applyBorder="1"/>
    <xf numFmtId="0" fontId="8" fillId="4" borderId="7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right"/>
    </xf>
    <xf numFmtId="0" fontId="9" fillId="5" borderId="9" xfId="0" applyFont="1" applyFill="1" applyBorder="1" applyAlignment="1">
      <alignment horizontal="right"/>
    </xf>
    <xf numFmtId="0" fontId="9" fillId="5" borderId="10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 Deal Payoff Diagram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'Numerical integration'!$D$13:$D$1012</c:f>
              <c:numCache>
                <c:formatCode>0.00</c:formatCode>
                <c:ptCount val="1000"/>
                <c:pt idx="0">
                  <c:v>9.8844022959314195</c:v>
                </c:pt>
                <c:pt idx="1">
                  <c:v>12.922885704500562</c:v>
                </c:pt>
                <c:pt idx="2">
                  <c:v>13.399303381764524</c:v>
                </c:pt>
                <c:pt idx="3">
                  <c:v>15.515045135719213</c:v>
                </c:pt>
                <c:pt idx="4">
                  <c:v>17.793206030653433</c:v>
                </c:pt>
                <c:pt idx="5">
                  <c:v>17.827899259563036</c:v>
                </c:pt>
                <c:pt idx="6">
                  <c:v>18.66265570788357</c:v>
                </c:pt>
                <c:pt idx="7">
                  <c:v>20.295589864800604</c:v>
                </c:pt>
                <c:pt idx="8">
                  <c:v>20.566804610982985</c:v>
                </c:pt>
                <c:pt idx="9">
                  <c:v>20.869856683696604</c:v>
                </c:pt>
                <c:pt idx="10">
                  <c:v>20.978849112804536</c:v>
                </c:pt>
                <c:pt idx="11">
                  <c:v>21.31694406471653</c:v>
                </c:pt>
                <c:pt idx="12">
                  <c:v>21.375440640922154</c:v>
                </c:pt>
                <c:pt idx="13">
                  <c:v>21.795045306155703</c:v>
                </c:pt>
                <c:pt idx="14">
                  <c:v>21.871815089527029</c:v>
                </c:pt>
                <c:pt idx="15">
                  <c:v>21.937241093351414</c:v>
                </c:pt>
                <c:pt idx="16">
                  <c:v>22.330564610356717</c:v>
                </c:pt>
                <c:pt idx="17">
                  <c:v>23.210486604220915</c:v>
                </c:pt>
                <c:pt idx="18">
                  <c:v>23.837773700599911</c:v>
                </c:pt>
                <c:pt idx="19">
                  <c:v>24.095472529630278</c:v>
                </c:pt>
                <c:pt idx="20">
                  <c:v>24.993687097793941</c:v>
                </c:pt>
                <c:pt idx="21">
                  <c:v>26.13155157689409</c:v>
                </c:pt>
                <c:pt idx="22">
                  <c:v>26.312605720106198</c:v>
                </c:pt>
                <c:pt idx="23">
                  <c:v>26.470747932830129</c:v>
                </c:pt>
                <c:pt idx="24">
                  <c:v>27.145267591078841</c:v>
                </c:pt>
                <c:pt idx="25">
                  <c:v>27.251260686260725</c:v>
                </c:pt>
                <c:pt idx="26">
                  <c:v>27.418702337351629</c:v>
                </c:pt>
                <c:pt idx="27">
                  <c:v>27.503367943514721</c:v>
                </c:pt>
                <c:pt idx="28">
                  <c:v>27.524759856998219</c:v>
                </c:pt>
                <c:pt idx="29">
                  <c:v>27.746443053792287</c:v>
                </c:pt>
                <c:pt idx="30">
                  <c:v>27.800470317905614</c:v>
                </c:pt>
                <c:pt idx="31">
                  <c:v>28.21788055171438</c:v>
                </c:pt>
                <c:pt idx="32">
                  <c:v>28.535551522185994</c:v>
                </c:pt>
                <c:pt idx="33">
                  <c:v>29.120783970832171</c:v>
                </c:pt>
                <c:pt idx="34">
                  <c:v>29.151339562356952</c:v>
                </c:pt>
                <c:pt idx="35">
                  <c:v>29.542056913576932</c:v>
                </c:pt>
                <c:pt idx="36">
                  <c:v>29.606813261946634</c:v>
                </c:pt>
                <c:pt idx="37">
                  <c:v>30.013938580419307</c:v>
                </c:pt>
                <c:pt idx="38">
                  <c:v>30.573378874070002</c:v>
                </c:pt>
                <c:pt idx="39">
                  <c:v>30.650445590796487</c:v>
                </c:pt>
                <c:pt idx="40">
                  <c:v>30.894247634046174</c:v>
                </c:pt>
                <c:pt idx="41">
                  <c:v>31.416590674937378</c:v>
                </c:pt>
                <c:pt idx="42">
                  <c:v>31.802347287344613</c:v>
                </c:pt>
                <c:pt idx="43">
                  <c:v>31.828395836883423</c:v>
                </c:pt>
                <c:pt idx="44">
                  <c:v>32.218164771657051</c:v>
                </c:pt>
                <c:pt idx="45">
                  <c:v>32.390276363851548</c:v>
                </c:pt>
                <c:pt idx="46">
                  <c:v>32.596456763059336</c:v>
                </c:pt>
                <c:pt idx="47">
                  <c:v>33.558039873435455</c:v>
                </c:pt>
                <c:pt idx="48">
                  <c:v>33.978489988231438</c:v>
                </c:pt>
                <c:pt idx="49">
                  <c:v>34.046775737604776</c:v>
                </c:pt>
                <c:pt idx="50">
                  <c:v>34.135716201708824</c:v>
                </c:pt>
                <c:pt idx="51">
                  <c:v>34.172328505875392</c:v>
                </c:pt>
                <c:pt idx="52">
                  <c:v>34.920308130282613</c:v>
                </c:pt>
                <c:pt idx="53">
                  <c:v>34.978290856269787</c:v>
                </c:pt>
                <c:pt idx="54">
                  <c:v>35.129435763420105</c:v>
                </c:pt>
                <c:pt idx="55">
                  <c:v>35.224456117874261</c:v>
                </c:pt>
                <c:pt idx="56">
                  <c:v>35.836961472371733</c:v>
                </c:pt>
                <c:pt idx="57">
                  <c:v>35.9646071247696</c:v>
                </c:pt>
                <c:pt idx="58">
                  <c:v>36.076266281100722</c:v>
                </c:pt>
                <c:pt idx="59">
                  <c:v>36.238334634647039</c:v>
                </c:pt>
                <c:pt idx="60">
                  <c:v>36.369831982572123</c:v>
                </c:pt>
                <c:pt idx="61">
                  <c:v>36.543861770415937</c:v>
                </c:pt>
                <c:pt idx="62">
                  <c:v>36.606533263625316</c:v>
                </c:pt>
                <c:pt idx="63">
                  <c:v>36.73097322392227</c:v>
                </c:pt>
                <c:pt idx="64">
                  <c:v>36.808981838448382</c:v>
                </c:pt>
                <c:pt idx="65">
                  <c:v>37.294379804643683</c:v>
                </c:pt>
                <c:pt idx="66">
                  <c:v>37.333371057145243</c:v>
                </c:pt>
                <c:pt idx="67">
                  <c:v>37.513045038692248</c:v>
                </c:pt>
                <c:pt idx="68">
                  <c:v>37.639204624097346</c:v>
                </c:pt>
                <c:pt idx="69">
                  <c:v>37.676313270641423</c:v>
                </c:pt>
                <c:pt idx="70">
                  <c:v>38.220904859120417</c:v>
                </c:pt>
                <c:pt idx="71">
                  <c:v>38.265498311499044</c:v>
                </c:pt>
                <c:pt idx="72">
                  <c:v>38.482044870610451</c:v>
                </c:pt>
                <c:pt idx="73">
                  <c:v>38.714274244938181</c:v>
                </c:pt>
                <c:pt idx="74">
                  <c:v>38.850075827754679</c:v>
                </c:pt>
                <c:pt idx="75">
                  <c:v>38.851415751590437</c:v>
                </c:pt>
                <c:pt idx="76">
                  <c:v>38.909691752922079</c:v>
                </c:pt>
                <c:pt idx="77">
                  <c:v>38.914061776700528</c:v>
                </c:pt>
                <c:pt idx="78">
                  <c:v>38.918019905330262</c:v>
                </c:pt>
                <c:pt idx="79">
                  <c:v>39.016201755206801</c:v>
                </c:pt>
                <c:pt idx="80">
                  <c:v>39.154942169575875</c:v>
                </c:pt>
                <c:pt idx="81">
                  <c:v>39.204778758014896</c:v>
                </c:pt>
                <c:pt idx="82">
                  <c:v>39.35887647027694</c:v>
                </c:pt>
                <c:pt idx="83">
                  <c:v>39.505082379862074</c:v>
                </c:pt>
                <c:pt idx="84">
                  <c:v>39.683985397684978</c:v>
                </c:pt>
                <c:pt idx="85">
                  <c:v>39.738040200661302</c:v>
                </c:pt>
                <c:pt idx="86">
                  <c:v>39.771363239002284</c:v>
                </c:pt>
                <c:pt idx="87">
                  <c:v>39.7754135631493</c:v>
                </c:pt>
                <c:pt idx="88">
                  <c:v>39.940253348397029</c:v>
                </c:pt>
                <c:pt idx="89">
                  <c:v>39.950659081292869</c:v>
                </c:pt>
                <c:pt idx="90">
                  <c:v>39.975278043486703</c:v>
                </c:pt>
                <c:pt idx="91">
                  <c:v>39.980877924129352</c:v>
                </c:pt>
                <c:pt idx="92">
                  <c:v>40.070594876103549</c:v>
                </c:pt>
                <c:pt idx="93">
                  <c:v>40.09430329598537</c:v>
                </c:pt>
                <c:pt idx="94">
                  <c:v>40.208898687867148</c:v>
                </c:pt>
                <c:pt idx="95">
                  <c:v>40.483424539335047</c:v>
                </c:pt>
                <c:pt idx="96">
                  <c:v>40.560368886868517</c:v>
                </c:pt>
                <c:pt idx="97">
                  <c:v>40.674308048105992</c:v>
                </c:pt>
                <c:pt idx="98">
                  <c:v>40.881436398186985</c:v>
                </c:pt>
                <c:pt idx="99">
                  <c:v>41.361280489350733</c:v>
                </c:pt>
                <c:pt idx="100">
                  <c:v>41.369891319488538</c:v>
                </c:pt>
                <c:pt idx="101">
                  <c:v>41.605187936187797</c:v>
                </c:pt>
                <c:pt idx="102">
                  <c:v>41.6371012534347</c:v>
                </c:pt>
                <c:pt idx="103">
                  <c:v>41.931585577853824</c:v>
                </c:pt>
                <c:pt idx="104">
                  <c:v>42.047009426772718</c:v>
                </c:pt>
                <c:pt idx="105">
                  <c:v>42.267636529891256</c:v>
                </c:pt>
                <c:pt idx="106">
                  <c:v>42.490982173059209</c:v>
                </c:pt>
                <c:pt idx="107">
                  <c:v>42.53026274596462</c:v>
                </c:pt>
                <c:pt idx="108">
                  <c:v>42.546899394960079</c:v>
                </c:pt>
                <c:pt idx="109">
                  <c:v>42.572794299347386</c:v>
                </c:pt>
                <c:pt idx="110">
                  <c:v>42.788798668519291</c:v>
                </c:pt>
                <c:pt idx="111">
                  <c:v>42.954083108094814</c:v>
                </c:pt>
                <c:pt idx="112">
                  <c:v>42.978517227190764</c:v>
                </c:pt>
                <c:pt idx="113">
                  <c:v>43.073168726249733</c:v>
                </c:pt>
                <c:pt idx="114">
                  <c:v>43.153975898548033</c:v>
                </c:pt>
                <c:pt idx="115">
                  <c:v>43.456763309641559</c:v>
                </c:pt>
                <c:pt idx="116">
                  <c:v>43.546880168326418</c:v>
                </c:pt>
                <c:pt idx="117">
                  <c:v>43.666135379053394</c:v>
                </c:pt>
                <c:pt idx="118">
                  <c:v>43.733995021792857</c:v>
                </c:pt>
                <c:pt idx="119">
                  <c:v>43.78204889665593</c:v>
                </c:pt>
                <c:pt idx="120">
                  <c:v>43.79933617494688</c:v>
                </c:pt>
                <c:pt idx="121">
                  <c:v>43.952706981814657</c:v>
                </c:pt>
                <c:pt idx="122">
                  <c:v>44.041222260001042</c:v>
                </c:pt>
                <c:pt idx="123">
                  <c:v>44.142944849749597</c:v>
                </c:pt>
                <c:pt idx="124">
                  <c:v>44.23396779820424</c:v>
                </c:pt>
                <c:pt idx="125">
                  <c:v>44.257070063250211</c:v>
                </c:pt>
                <c:pt idx="126">
                  <c:v>44.267704518416558</c:v>
                </c:pt>
                <c:pt idx="127">
                  <c:v>44.339665638199982</c:v>
                </c:pt>
                <c:pt idx="128">
                  <c:v>44.356101483026237</c:v>
                </c:pt>
                <c:pt idx="129">
                  <c:v>44.392914256151357</c:v>
                </c:pt>
                <c:pt idx="130">
                  <c:v>44.524582906886259</c:v>
                </c:pt>
                <c:pt idx="131">
                  <c:v>44.817229943562623</c:v>
                </c:pt>
                <c:pt idx="132">
                  <c:v>44.835792593708987</c:v>
                </c:pt>
                <c:pt idx="133">
                  <c:v>44.989472779170242</c:v>
                </c:pt>
                <c:pt idx="134">
                  <c:v>45.042997317182341</c:v>
                </c:pt>
                <c:pt idx="135">
                  <c:v>45.114719447258224</c:v>
                </c:pt>
                <c:pt idx="136">
                  <c:v>45.141780926608568</c:v>
                </c:pt>
                <c:pt idx="137">
                  <c:v>45.189543984405617</c:v>
                </c:pt>
                <c:pt idx="138">
                  <c:v>45.299437543794468</c:v>
                </c:pt>
                <c:pt idx="139">
                  <c:v>45.311724799271083</c:v>
                </c:pt>
                <c:pt idx="140">
                  <c:v>45.366540314694603</c:v>
                </c:pt>
                <c:pt idx="141">
                  <c:v>45.4012032988458</c:v>
                </c:pt>
                <c:pt idx="142">
                  <c:v>45.58170597921287</c:v>
                </c:pt>
                <c:pt idx="143">
                  <c:v>45.64694688953211</c:v>
                </c:pt>
                <c:pt idx="144">
                  <c:v>45.776269109199966</c:v>
                </c:pt>
                <c:pt idx="145">
                  <c:v>45.892261493829814</c:v>
                </c:pt>
                <c:pt idx="146">
                  <c:v>45.912937900063802</c:v>
                </c:pt>
                <c:pt idx="147">
                  <c:v>46.055836459620778</c:v>
                </c:pt>
                <c:pt idx="148">
                  <c:v>46.103082745274534</c:v>
                </c:pt>
                <c:pt idx="149">
                  <c:v>46.103932510903476</c:v>
                </c:pt>
                <c:pt idx="150">
                  <c:v>46.299035679889691</c:v>
                </c:pt>
                <c:pt idx="151">
                  <c:v>46.471258085398262</c:v>
                </c:pt>
                <c:pt idx="152">
                  <c:v>46.776034725451851</c:v>
                </c:pt>
                <c:pt idx="153">
                  <c:v>46.807147610631731</c:v>
                </c:pt>
                <c:pt idx="154">
                  <c:v>46.907176057039905</c:v>
                </c:pt>
                <c:pt idx="155">
                  <c:v>47.07782946522174</c:v>
                </c:pt>
                <c:pt idx="156">
                  <c:v>47.079057408753968</c:v>
                </c:pt>
                <c:pt idx="157">
                  <c:v>47.48336012566191</c:v>
                </c:pt>
                <c:pt idx="158">
                  <c:v>47.631149605479564</c:v>
                </c:pt>
                <c:pt idx="159">
                  <c:v>47.825265608885864</c:v>
                </c:pt>
                <c:pt idx="160">
                  <c:v>47.829103653333419</c:v>
                </c:pt>
                <c:pt idx="161">
                  <c:v>47.864496418707652</c:v>
                </c:pt>
                <c:pt idx="162">
                  <c:v>47.888479522746927</c:v>
                </c:pt>
                <c:pt idx="163">
                  <c:v>48.01601852555676</c:v>
                </c:pt>
                <c:pt idx="164">
                  <c:v>48.165640724725435</c:v>
                </c:pt>
                <c:pt idx="165">
                  <c:v>48.168021272356441</c:v>
                </c:pt>
                <c:pt idx="166">
                  <c:v>48.50904970806841</c:v>
                </c:pt>
                <c:pt idx="167">
                  <c:v>48.51078876585732</c:v>
                </c:pt>
                <c:pt idx="168">
                  <c:v>48.581858217279887</c:v>
                </c:pt>
                <c:pt idx="169">
                  <c:v>48.719661101169905</c:v>
                </c:pt>
                <c:pt idx="170">
                  <c:v>48.81117860145698</c:v>
                </c:pt>
                <c:pt idx="171">
                  <c:v>49.256584638548254</c:v>
                </c:pt>
                <c:pt idx="172">
                  <c:v>49.437769038756421</c:v>
                </c:pt>
                <c:pt idx="173">
                  <c:v>49.443699709183839</c:v>
                </c:pt>
                <c:pt idx="174">
                  <c:v>49.57222467433737</c:v>
                </c:pt>
                <c:pt idx="175">
                  <c:v>49.595888008741248</c:v>
                </c:pt>
                <c:pt idx="176">
                  <c:v>49.659565231476726</c:v>
                </c:pt>
                <c:pt idx="177">
                  <c:v>49.855457074427733</c:v>
                </c:pt>
                <c:pt idx="178">
                  <c:v>49.925049704910272</c:v>
                </c:pt>
                <c:pt idx="179">
                  <c:v>49.965067500451411</c:v>
                </c:pt>
                <c:pt idx="180">
                  <c:v>50.062755963215992</c:v>
                </c:pt>
                <c:pt idx="181">
                  <c:v>50.144028932997166</c:v>
                </c:pt>
                <c:pt idx="182">
                  <c:v>50.344442967819425</c:v>
                </c:pt>
                <c:pt idx="183">
                  <c:v>50.471799664881743</c:v>
                </c:pt>
                <c:pt idx="184">
                  <c:v>50.560466333812428</c:v>
                </c:pt>
                <c:pt idx="185">
                  <c:v>50.899245618412003</c:v>
                </c:pt>
                <c:pt idx="186">
                  <c:v>51.055728023628241</c:v>
                </c:pt>
                <c:pt idx="187">
                  <c:v>51.424718462110761</c:v>
                </c:pt>
                <c:pt idx="188">
                  <c:v>51.489141823206417</c:v>
                </c:pt>
                <c:pt idx="189">
                  <c:v>51.637491261985481</c:v>
                </c:pt>
                <c:pt idx="190">
                  <c:v>51.658343589278623</c:v>
                </c:pt>
                <c:pt idx="191">
                  <c:v>51.896591903191592</c:v>
                </c:pt>
                <c:pt idx="192">
                  <c:v>51.952952536418294</c:v>
                </c:pt>
                <c:pt idx="193">
                  <c:v>51.960568317142275</c:v>
                </c:pt>
                <c:pt idx="194">
                  <c:v>52.099566736588265</c:v>
                </c:pt>
                <c:pt idx="195">
                  <c:v>52.267950337968507</c:v>
                </c:pt>
                <c:pt idx="196">
                  <c:v>52.278556996223777</c:v>
                </c:pt>
                <c:pt idx="197">
                  <c:v>52.286223513756482</c:v>
                </c:pt>
                <c:pt idx="198">
                  <c:v>52.386550161988865</c:v>
                </c:pt>
                <c:pt idx="199">
                  <c:v>52.428117149161089</c:v>
                </c:pt>
                <c:pt idx="200">
                  <c:v>52.527642571547794</c:v>
                </c:pt>
                <c:pt idx="201">
                  <c:v>52.615362958940757</c:v>
                </c:pt>
                <c:pt idx="202">
                  <c:v>52.645098139884553</c:v>
                </c:pt>
                <c:pt idx="203">
                  <c:v>52.884063734422462</c:v>
                </c:pt>
                <c:pt idx="204">
                  <c:v>53.008130051850507</c:v>
                </c:pt>
                <c:pt idx="205">
                  <c:v>53.094476785216486</c:v>
                </c:pt>
                <c:pt idx="206">
                  <c:v>53.095177438664209</c:v>
                </c:pt>
                <c:pt idx="207">
                  <c:v>53.154154440646764</c:v>
                </c:pt>
                <c:pt idx="208">
                  <c:v>53.157358858983692</c:v>
                </c:pt>
                <c:pt idx="209">
                  <c:v>53.204617079496565</c:v>
                </c:pt>
                <c:pt idx="210">
                  <c:v>53.388134649650119</c:v>
                </c:pt>
                <c:pt idx="211">
                  <c:v>53.449094205260529</c:v>
                </c:pt>
                <c:pt idx="212">
                  <c:v>53.567557053183201</c:v>
                </c:pt>
                <c:pt idx="213">
                  <c:v>53.669477358010283</c:v>
                </c:pt>
                <c:pt idx="214">
                  <c:v>53.88918542475686</c:v>
                </c:pt>
                <c:pt idx="215">
                  <c:v>53.894074098677692</c:v>
                </c:pt>
                <c:pt idx="216">
                  <c:v>54.436501816859995</c:v>
                </c:pt>
                <c:pt idx="217">
                  <c:v>54.633572548980524</c:v>
                </c:pt>
                <c:pt idx="218">
                  <c:v>54.79379703218811</c:v>
                </c:pt>
                <c:pt idx="219">
                  <c:v>55.06473678430703</c:v>
                </c:pt>
                <c:pt idx="220">
                  <c:v>55.195626458292047</c:v>
                </c:pt>
                <c:pt idx="221">
                  <c:v>55.201364148492857</c:v>
                </c:pt>
                <c:pt idx="222">
                  <c:v>55.460878430741467</c:v>
                </c:pt>
                <c:pt idx="223">
                  <c:v>55.706041434876695</c:v>
                </c:pt>
                <c:pt idx="224">
                  <c:v>55.752347791296856</c:v>
                </c:pt>
                <c:pt idx="225">
                  <c:v>56.089133151971673</c:v>
                </c:pt>
                <c:pt idx="226">
                  <c:v>56.285327694051368</c:v>
                </c:pt>
                <c:pt idx="227">
                  <c:v>56.53997352544188</c:v>
                </c:pt>
                <c:pt idx="228">
                  <c:v>56.667277093172174</c:v>
                </c:pt>
                <c:pt idx="229">
                  <c:v>56.706445941614739</c:v>
                </c:pt>
                <c:pt idx="230">
                  <c:v>56.832102926306028</c:v>
                </c:pt>
                <c:pt idx="231">
                  <c:v>56.862212036542516</c:v>
                </c:pt>
                <c:pt idx="232">
                  <c:v>56.952894639799453</c:v>
                </c:pt>
                <c:pt idx="233">
                  <c:v>56.962942723680221</c:v>
                </c:pt>
                <c:pt idx="234">
                  <c:v>56.99084452593268</c:v>
                </c:pt>
                <c:pt idx="235">
                  <c:v>57.082563045779267</c:v>
                </c:pt>
                <c:pt idx="236">
                  <c:v>57.181889319377852</c:v>
                </c:pt>
                <c:pt idx="237">
                  <c:v>57.2740680872691</c:v>
                </c:pt>
                <c:pt idx="238">
                  <c:v>57.462640131410794</c:v>
                </c:pt>
                <c:pt idx="239">
                  <c:v>57.698479913777746</c:v>
                </c:pt>
                <c:pt idx="240">
                  <c:v>57.715881291557572</c:v>
                </c:pt>
                <c:pt idx="241">
                  <c:v>58.146272090880437</c:v>
                </c:pt>
                <c:pt idx="242">
                  <c:v>58.255454697714896</c:v>
                </c:pt>
                <c:pt idx="243">
                  <c:v>58.496855160387561</c:v>
                </c:pt>
                <c:pt idx="244">
                  <c:v>58.506705281138437</c:v>
                </c:pt>
                <c:pt idx="245">
                  <c:v>58.528499597617134</c:v>
                </c:pt>
                <c:pt idx="246">
                  <c:v>58.658336709515879</c:v>
                </c:pt>
                <c:pt idx="247">
                  <c:v>58.843037599705703</c:v>
                </c:pt>
                <c:pt idx="248">
                  <c:v>58.926449207329256</c:v>
                </c:pt>
                <c:pt idx="249">
                  <c:v>58.985001571797113</c:v>
                </c:pt>
                <c:pt idx="250">
                  <c:v>59.018989278157427</c:v>
                </c:pt>
                <c:pt idx="251">
                  <c:v>59.133356160857254</c:v>
                </c:pt>
                <c:pt idx="252">
                  <c:v>59.298004269761442</c:v>
                </c:pt>
                <c:pt idx="253">
                  <c:v>59.366706169092389</c:v>
                </c:pt>
                <c:pt idx="254">
                  <c:v>59.636195210430799</c:v>
                </c:pt>
                <c:pt idx="255">
                  <c:v>59.725624159219358</c:v>
                </c:pt>
                <c:pt idx="256">
                  <c:v>59.742815586818189</c:v>
                </c:pt>
                <c:pt idx="257">
                  <c:v>59.753600790742446</c:v>
                </c:pt>
                <c:pt idx="258">
                  <c:v>59.843532922010745</c:v>
                </c:pt>
                <c:pt idx="259">
                  <c:v>60.046489038010378</c:v>
                </c:pt>
                <c:pt idx="260">
                  <c:v>60.506216688386679</c:v>
                </c:pt>
                <c:pt idx="261">
                  <c:v>60.66318001924359</c:v>
                </c:pt>
                <c:pt idx="262">
                  <c:v>60.685545460052218</c:v>
                </c:pt>
                <c:pt idx="263">
                  <c:v>60.950027508140636</c:v>
                </c:pt>
                <c:pt idx="264">
                  <c:v>61.048210650824885</c:v>
                </c:pt>
                <c:pt idx="265">
                  <c:v>61.101338957054786</c:v>
                </c:pt>
                <c:pt idx="266">
                  <c:v>61.225802195352117</c:v>
                </c:pt>
                <c:pt idx="267">
                  <c:v>61.508650325141602</c:v>
                </c:pt>
                <c:pt idx="268">
                  <c:v>61.589001423724945</c:v>
                </c:pt>
                <c:pt idx="269">
                  <c:v>61.617891286362457</c:v>
                </c:pt>
                <c:pt idx="270">
                  <c:v>61.78155155679169</c:v>
                </c:pt>
                <c:pt idx="271">
                  <c:v>61.825117462787503</c:v>
                </c:pt>
                <c:pt idx="272">
                  <c:v>62.014626465697631</c:v>
                </c:pt>
                <c:pt idx="273">
                  <c:v>62.041225258161248</c:v>
                </c:pt>
                <c:pt idx="274">
                  <c:v>62.200148693269952</c:v>
                </c:pt>
                <c:pt idx="275">
                  <c:v>62.314280310118278</c:v>
                </c:pt>
                <c:pt idx="276">
                  <c:v>62.341375565852999</c:v>
                </c:pt>
                <c:pt idx="277">
                  <c:v>62.51825788952754</c:v>
                </c:pt>
                <c:pt idx="278">
                  <c:v>62.578253785893644</c:v>
                </c:pt>
                <c:pt idx="279">
                  <c:v>62.708285102076758</c:v>
                </c:pt>
                <c:pt idx="280">
                  <c:v>62.783349926790521</c:v>
                </c:pt>
                <c:pt idx="281">
                  <c:v>62.8071717996052</c:v>
                </c:pt>
                <c:pt idx="282">
                  <c:v>62.8293908772919</c:v>
                </c:pt>
                <c:pt idx="283">
                  <c:v>62.871148926694588</c:v>
                </c:pt>
                <c:pt idx="284">
                  <c:v>62.885234639881013</c:v>
                </c:pt>
                <c:pt idx="285">
                  <c:v>62.911191083938064</c:v>
                </c:pt>
                <c:pt idx="286">
                  <c:v>62.965509987032405</c:v>
                </c:pt>
                <c:pt idx="287">
                  <c:v>62.988177335237417</c:v>
                </c:pt>
                <c:pt idx="288">
                  <c:v>63.118452705507998</c:v>
                </c:pt>
                <c:pt idx="289">
                  <c:v>63.147771400937472</c:v>
                </c:pt>
                <c:pt idx="290">
                  <c:v>63.161306842934906</c:v>
                </c:pt>
                <c:pt idx="291">
                  <c:v>63.163252917764765</c:v>
                </c:pt>
                <c:pt idx="292">
                  <c:v>63.222390845439747</c:v>
                </c:pt>
                <c:pt idx="293">
                  <c:v>63.371973663081874</c:v>
                </c:pt>
                <c:pt idx="294">
                  <c:v>63.42596210626288</c:v>
                </c:pt>
                <c:pt idx="295">
                  <c:v>63.673515802664362</c:v>
                </c:pt>
                <c:pt idx="296">
                  <c:v>63.722428132898422</c:v>
                </c:pt>
                <c:pt idx="297">
                  <c:v>63.957423301849268</c:v>
                </c:pt>
                <c:pt idx="298">
                  <c:v>64.110962833583045</c:v>
                </c:pt>
                <c:pt idx="299">
                  <c:v>64.16188896692934</c:v>
                </c:pt>
                <c:pt idx="300">
                  <c:v>64.187616297048066</c:v>
                </c:pt>
                <c:pt idx="301">
                  <c:v>64.246549612842628</c:v>
                </c:pt>
                <c:pt idx="302">
                  <c:v>64.427581765725847</c:v>
                </c:pt>
                <c:pt idx="303">
                  <c:v>64.430934064787436</c:v>
                </c:pt>
                <c:pt idx="304">
                  <c:v>64.498034996436118</c:v>
                </c:pt>
                <c:pt idx="305">
                  <c:v>64.624298648227025</c:v>
                </c:pt>
                <c:pt idx="306">
                  <c:v>64.747303643229785</c:v>
                </c:pt>
                <c:pt idx="307">
                  <c:v>64.758313528486227</c:v>
                </c:pt>
                <c:pt idx="308">
                  <c:v>64.893049830600063</c:v>
                </c:pt>
                <c:pt idx="309">
                  <c:v>65.0862902502287</c:v>
                </c:pt>
                <c:pt idx="310">
                  <c:v>65.12119537700913</c:v>
                </c:pt>
                <c:pt idx="311">
                  <c:v>65.231359134084371</c:v>
                </c:pt>
                <c:pt idx="312">
                  <c:v>65.254430735084441</c:v>
                </c:pt>
                <c:pt idx="313">
                  <c:v>65.487435460689071</c:v>
                </c:pt>
                <c:pt idx="314">
                  <c:v>65.871018207612366</c:v>
                </c:pt>
                <c:pt idx="315">
                  <c:v>66.192828520276109</c:v>
                </c:pt>
                <c:pt idx="316">
                  <c:v>66.308894985616959</c:v>
                </c:pt>
                <c:pt idx="317">
                  <c:v>66.571881720319652</c:v>
                </c:pt>
                <c:pt idx="318">
                  <c:v>66.831675017976707</c:v>
                </c:pt>
                <c:pt idx="319">
                  <c:v>66.869875078365453</c:v>
                </c:pt>
                <c:pt idx="320">
                  <c:v>67.186596980776329</c:v>
                </c:pt>
                <c:pt idx="321">
                  <c:v>67.350911681111469</c:v>
                </c:pt>
                <c:pt idx="322">
                  <c:v>67.523498402657907</c:v>
                </c:pt>
                <c:pt idx="323">
                  <c:v>67.552295867583794</c:v>
                </c:pt>
                <c:pt idx="324">
                  <c:v>67.561785593930352</c:v>
                </c:pt>
                <c:pt idx="325">
                  <c:v>67.569183684463169</c:v>
                </c:pt>
                <c:pt idx="326">
                  <c:v>67.600376332385835</c:v>
                </c:pt>
                <c:pt idx="327">
                  <c:v>67.621889350397808</c:v>
                </c:pt>
                <c:pt idx="328">
                  <c:v>67.634477686961489</c:v>
                </c:pt>
                <c:pt idx="329">
                  <c:v>67.915457327391721</c:v>
                </c:pt>
                <c:pt idx="330">
                  <c:v>68.09398456380228</c:v>
                </c:pt>
                <c:pt idx="331">
                  <c:v>68.233946353627388</c:v>
                </c:pt>
                <c:pt idx="332">
                  <c:v>68.257441847425596</c:v>
                </c:pt>
                <c:pt idx="333">
                  <c:v>68.279973281828816</c:v>
                </c:pt>
                <c:pt idx="334">
                  <c:v>68.364696147917968</c:v>
                </c:pt>
                <c:pt idx="335">
                  <c:v>68.505285032879144</c:v>
                </c:pt>
                <c:pt idx="336">
                  <c:v>68.672372918470913</c:v>
                </c:pt>
                <c:pt idx="337">
                  <c:v>68.676817462600766</c:v>
                </c:pt>
                <c:pt idx="338">
                  <c:v>68.692754742936813</c:v>
                </c:pt>
                <c:pt idx="339">
                  <c:v>68.71872998405361</c:v>
                </c:pt>
                <c:pt idx="340">
                  <c:v>68.747971252366625</c:v>
                </c:pt>
                <c:pt idx="341">
                  <c:v>68.84878323915882</c:v>
                </c:pt>
                <c:pt idx="342">
                  <c:v>68.865009580907383</c:v>
                </c:pt>
                <c:pt idx="343">
                  <c:v>68.944585478131359</c:v>
                </c:pt>
                <c:pt idx="344">
                  <c:v>69.035704598681875</c:v>
                </c:pt>
                <c:pt idx="345">
                  <c:v>69.148013408738933</c:v>
                </c:pt>
                <c:pt idx="346">
                  <c:v>69.163683897208657</c:v>
                </c:pt>
                <c:pt idx="347">
                  <c:v>69.371755559203649</c:v>
                </c:pt>
                <c:pt idx="348">
                  <c:v>69.446045645214809</c:v>
                </c:pt>
                <c:pt idx="349">
                  <c:v>69.738618196760669</c:v>
                </c:pt>
                <c:pt idx="350">
                  <c:v>69.834368457735593</c:v>
                </c:pt>
                <c:pt idx="351">
                  <c:v>69.890432609711794</c:v>
                </c:pt>
                <c:pt idx="352">
                  <c:v>69.917498446533457</c:v>
                </c:pt>
                <c:pt idx="353">
                  <c:v>70.076660451168124</c:v>
                </c:pt>
                <c:pt idx="354">
                  <c:v>70.121212771550177</c:v>
                </c:pt>
                <c:pt idx="355">
                  <c:v>70.268641099045908</c:v>
                </c:pt>
                <c:pt idx="356">
                  <c:v>70.285510658204458</c:v>
                </c:pt>
                <c:pt idx="357">
                  <c:v>70.315944045408386</c:v>
                </c:pt>
                <c:pt idx="358">
                  <c:v>70.612756259335271</c:v>
                </c:pt>
                <c:pt idx="359">
                  <c:v>70.647173442448363</c:v>
                </c:pt>
                <c:pt idx="360">
                  <c:v>70.874055474002958</c:v>
                </c:pt>
                <c:pt idx="361">
                  <c:v>71.084794233646093</c:v>
                </c:pt>
                <c:pt idx="362">
                  <c:v>71.278593445840713</c:v>
                </c:pt>
                <c:pt idx="363">
                  <c:v>71.390574131478886</c:v>
                </c:pt>
                <c:pt idx="364">
                  <c:v>71.44404262239452</c:v>
                </c:pt>
                <c:pt idx="365">
                  <c:v>71.537302932395164</c:v>
                </c:pt>
                <c:pt idx="366">
                  <c:v>71.677551749728664</c:v>
                </c:pt>
                <c:pt idx="367">
                  <c:v>71.897931250627366</c:v>
                </c:pt>
                <c:pt idx="368">
                  <c:v>71.90870289714762</c:v>
                </c:pt>
                <c:pt idx="369">
                  <c:v>72.248510277782586</c:v>
                </c:pt>
                <c:pt idx="370">
                  <c:v>72.438156226730399</c:v>
                </c:pt>
                <c:pt idx="371">
                  <c:v>72.647796114756574</c:v>
                </c:pt>
                <c:pt idx="372">
                  <c:v>72.778629141945203</c:v>
                </c:pt>
                <c:pt idx="373">
                  <c:v>72.855049488670304</c:v>
                </c:pt>
                <c:pt idx="374">
                  <c:v>73.035624834819828</c:v>
                </c:pt>
                <c:pt idx="375">
                  <c:v>73.297755785919037</c:v>
                </c:pt>
                <c:pt idx="376">
                  <c:v>73.444236138036459</c:v>
                </c:pt>
                <c:pt idx="377">
                  <c:v>73.62458491264303</c:v>
                </c:pt>
                <c:pt idx="378">
                  <c:v>73.650914081824155</c:v>
                </c:pt>
                <c:pt idx="379">
                  <c:v>73.735182320305555</c:v>
                </c:pt>
                <c:pt idx="380">
                  <c:v>73.750710536725336</c:v>
                </c:pt>
                <c:pt idx="381">
                  <c:v>73.804285961615776</c:v>
                </c:pt>
                <c:pt idx="382">
                  <c:v>73.932351219143911</c:v>
                </c:pt>
                <c:pt idx="383">
                  <c:v>73.951112623309996</c:v>
                </c:pt>
                <c:pt idx="384">
                  <c:v>74.094980922843916</c:v>
                </c:pt>
                <c:pt idx="385">
                  <c:v>74.132603047641084</c:v>
                </c:pt>
                <c:pt idx="386">
                  <c:v>74.513744424531069</c:v>
                </c:pt>
                <c:pt idx="387">
                  <c:v>74.553316114548224</c:v>
                </c:pt>
                <c:pt idx="388">
                  <c:v>74.998318801692577</c:v>
                </c:pt>
                <c:pt idx="389">
                  <c:v>75.061940738793169</c:v>
                </c:pt>
                <c:pt idx="390">
                  <c:v>75.372342409749734</c:v>
                </c:pt>
                <c:pt idx="391">
                  <c:v>75.467931149503116</c:v>
                </c:pt>
                <c:pt idx="392">
                  <c:v>75.6505171144033</c:v>
                </c:pt>
                <c:pt idx="393">
                  <c:v>75.711543667977267</c:v>
                </c:pt>
                <c:pt idx="394">
                  <c:v>75.811396091158429</c:v>
                </c:pt>
                <c:pt idx="395">
                  <c:v>75.908204418842573</c:v>
                </c:pt>
                <c:pt idx="396">
                  <c:v>76.251664376675237</c:v>
                </c:pt>
                <c:pt idx="397">
                  <c:v>76.268127877114139</c:v>
                </c:pt>
                <c:pt idx="398">
                  <c:v>76.299382472169412</c:v>
                </c:pt>
                <c:pt idx="399">
                  <c:v>76.340913495759253</c:v>
                </c:pt>
                <c:pt idx="400">
                  <c:v>76.371551131549936</c:v>
                </c:pt>
                <c:pt idx="401">
                  <c:v>76.565207232208834</c:v>
                </c:pt>
                <c:pt idx="402">
                  <c:v>76.828198328977166</c:v>
                </c:pt>
                <c:pt idx="403">
                  <c:v>76.859019743352349</c:v>
                </c:pt>
                <c:pt idx="404">
                  <c:v>76.913341242508238</c:v>
                </c:pt>
                <c:pt idx="405">
                  <c:v>76.971353799849496</c:v>
                </c:pt>
                <c:pt idx="406">
                  <c:v>77.283868065760558</c:v>
                </c:pt>
                <c:pt idx="407">
                  <c:v>77.546600856494933</c:v>
                </c:pt>
                <c:pt idx="408">
                  <c:v>77.658258909649831</c:v>
                </c:pt>
                <c:pt idx="409">
                  <c:v>77.71240260523787</c:v>
                </c:pt>
                <c:pt idx="410">
                  <c:v>78.053936704241195</c:v>
                </c:pt>
                <c:pt idx="411">
                  <c:v>78.17483821298913</c:v>
                </c:pt>
                <c:pt idx="412">
                  <c:v>78.246407833809201</c:v>
                </c:pt>
                <c:pt idx="413">
                  <c:v>78.477009454384586</c:v>
                </c:pt>
                <c:pt idx="414">
                  <c:v>78.58043230896817</c:v>
                </c:pt>
                <c:pt idx="415">
                  <c:v>78.756891677429977</c:v>
                </c:pt>
                <c:pt idx="416">
                  <c:v>79.130423033962472</c:v>
                </c:pt>
                <c:pt idx="417">
                  <c:v>79.135685491116448</c:v>
                </c:pt>
                <c:pt idx="418">
                  <c:v>79.388475880898554</c:v>
                </c:pt>
                <c:pt idx="419">
                  <c:v>79.454374041037653</c:v>
                </c:pt>
                <c:pt idx="420">
                  <c:v>79.632705339668746</c:v>
                </c:pt>
                <c:pt idx="421">
                  <c:v>79.66747261491625</c:v>
                </c:pt>
                <c:pt idx="422">
                  <c:v>79.696447074267112</c:v>
                </c:pt>
                <c:pt idx="423">
                  <c:v>79.967602452706132</c:v>
                </c:pt>
                <c:pt idx="424">
                  <c:v>79.96955025693147</c:v>
                </c:pt>
                <c:pt idx="425">
                  <c:v>79.986919567786998</c:v>
                </c:pt>
                <c:pt idx="426">
                  <c:v>79.997707800816485</c:v>
                </c:pt>
                <c:pt idx="427">
                  <c:v>80.076983397036926</c:v>
                </c:pt>
                <c:pt idx="428">
                  <c:v>80.123244397959837</c:v>
                </c:pt>
                <c:pt idx="429">
                  <c:v>80.192609230014412</c:v>
                </c:pt>
                <c:pt idx="430">
                  <c:v>80.214173605188662</c:v>
                </c:pt>
                <c:pt idx="431">
                  <c:v>80.239729335870692</c:v>
                </c:pt>
                <c:pt idx="432">
                  <c:v>80.310141947325477</c:v>
                </c:pt>
                <c:pt idx="433">
                  <c:v>80.361156573899123</c:v>
                </c:pt>
                <c:pt idx="434">
                  <c:v>80.466907371294553</c:v>
                </c:pt>
                <c:pt idx="435">
                  <c:v>80.482613120820659</c:v>
                </c:pt>
                <c:pt idx="436">
                  <c:v>80.569934460040187</c:v>
                </c:pt>
                <c:pt idx="437">
                  <c:v>80.660524163013193</c:v>
                </c:pt>
                <c:pt idx="438">
                  <c:v>80.837074776381243</c:v>
                </c:pt>
                <c:pt idx="439">
                  <c:v>81.008260392369863</c:v>
                </c:pt>
                <c:pt idx="440">
                  <c:v>81.049457995759411</c:v>
                </c:pt>
                <c:pt idx="441">
                  <c:v>81.065284984263201</c:v>
                </c:pt>
                <c:pt idx="442">
                  <c:v>81.101401069663581</c:v>
                </c:pt>
                <c:pt idx="443">
                  <c:v>81.288598718455191</c:v>
                </c:pt>
                <c:pt idx="444">
                  <c:v>81.322628697497592</c:v>
                </c:pt>
                <c:pt idx="445">
                  <c:v>81.501014546317251</c:v>
                </c:pt>
                <c:pt idx="446">
                  <c:v>81.528592974377617</c:v>
                </c:pt>
                <c:pt idx="447">
                  <c:v>81.564342013381108</c:v>
                </c:pt>
                <c:pt idx="448">
                  <c:v>81.567685177897019</c:v>
                </c:pt>
                <c:pt idx="449">
                  <c:v>81.602470030072865</c:v>
                </c:pt>
                <c:pt idx="450">
                  <c:v>81.694837275342664</c:v>
                </c:pt>
                <c:pt idx="451">
                  <c:v>81.76562094171021</c:v>
                </c:pt>
                <c:pt idx="452">
                  <c:v>82.200501144388866</c:v>
                </c:pt>
                <c:pt idx="453">
                  <c:v>82.292833669047042</c:v>
                </c:pt>
                <c:pt idx="454">
                  <c:v>82.320363668805442</c:v>
                </c:pt>
                <c:pt idx="455">
                  <c:v>82.406784179489051</c:v>
                </c:pt>
                <c:pt idx="456">
                  <c:v>82.414361096543104</c:v>
                </c:pt>
                <c:pt idx="457">
                  <c:v>82.42886847901957</c:v>
                </c:pt>
                <c:pt idx="458">
                  <c:v>82.772305300249243</c:v>
                </c:pt>
                <c:pt idx="459">
                  <c:v>82.795799730683669</c:v>
                </c:pt>
                <c:pt idx="460">
                  <c:v>82.827444453877391</c:v>
                </c:pt>
                <c:pt idx="461">
                  <c:v>83.112104957400007</c:v>
                </c:pt>
                <c:pt idx="462">
                  <c:v>83.114561419014137</c:v>
                </c:pt>
                <c:pt idx="463">
                  <c:v>83.223797779774884</c:v>
                </c:pt>
                <c:pt idx="464">
                  <c:v>83.803013911006133</c:v>
                </c:pt>
                <c:pt idx="465">
                  <c:v>83.901026457703338</c:v>
                </c:pt>
                <c:pt idx="466">
                  <c:v>83.913071666428266</c:v>
                </c:pt>
                <c:pt idx="467">
                  <c:v>83.981893185320345</c:v>
                </c:pt>
                <c:pt idx="468">
                  <c:v>84.008741182028373</c:v>
                </c:pt>
                <c:pt idx="469">
                  <c:v>84.122205179644595</c:v>
                </c:pt>
                <c:pt idx="470">
                  <c:v>84.153205259719982</c:v>
                </c:pt>
                <c:pt idx="471">
                  <c:v>84.166052480525536</c:v>
                </c:pt>
                <c:pt idx="472">
                  <c:v>84.463389241378863</c:v>
                </c:pt>
                <c:pt idx="473">
                  <c:v>84.604222032633686</c:v>
                </c:pt>
                <c:pt idx="474">
                  <c:v>84.742390301649579</c:v>
                </c:pt>
                <c:pt idx="475">
                  <c:v>84.865362584964714</c:v>
                </c:pt>
                <c:pt idx="476">
                  <c:v>84.918326427894385</c:v>
                </c:pt>
                <c:pt idx="477">
                  <c:v>85.169470960704956</c:v>
                </c:pt>
                <c:pt idx="478">
                  <c:v>85.198459531183417</c:v>
                </c:pt>
                <c:pt idx="479">
                  <c:v>85.254007743321935</c:v>
                </c:pt>
                <c:pt idx="480">
                  <c:v>85.305600844268767</c:v>
                </c:pt>
                <c:pt idx="481">
                  <c:v>85.40043754698678</c:v>
                </c:pt>
                <c:pt idx="482">
                  <c:v>85.650909654343963</c:v>
                </c:pt>
                <c:pt idx="483">
                  <c:v>85.707426866055158</c:v>
                </c:pt>
                <c:pt idx="484">
                  <c:v>86.085399721682805</c:v>
                </c:pt>
                <c:pt idx="485">
                  <c:v>86.317596428247199</c:v>
                </c:pt>
                <c:pt idx="486">
                  <c:v>86.386472394292042</c:v>
                </c:pt>
                <c:pt idx="487">
                  <c:v>86.729779928876667</c:v>
                </c:pt>
                <c:pt idx="488">
                  <c:v>86.757283540552521</c:v>
                </c:pt>
                <c:pt idx="489">
                  <c:v>86.829142437650844</c:v>
                </c:pt>
                <c:pt idx="490">
                  <c:v>87.190847069867189</c:v>
                </c:pt>
                <c:pt idx="491">
                  <c:v>87.230412961180534</c:v>
                </c:pt>
                <c:pt idx="492">
                  <c:v>87.304235784531045</c:v>
                </c:pt>
                <c:pt idx="493">
                  <c:v>87.353472452310626</c:v>
                </c:pt>
                <c:pt idx="494">
                  <c:v>87.691641879928525</c:v>
                </c:pt>
                <c:pt idx="495">
                  <c:v>87.701520197423548</c:v>
                </c:pt>
                <c:pt idx="496">
                  <c:v>87.730044633204287</c:v>
                </c:pt>
                <c:pt idx="497">
                  <c:v>87.884350981442054</c:v>
                </c:pt>
                <c:pt idx="498">
                  <c:v>88.005980445048792</c:v>
                </c:pt>
                <c:pt idx="499">
                  <c:v>88.036907920092602</c:v>
                </c:pt>
                <c:pt idx="500">
                  <c:v>88.057725575621291</c:v>
                </c:pt>
                <c:pt idx="501">
                  <c:v>88.093954441494475</c:v>
                </c:pt>
                <c:pt idx="502">
                  <c:v>88.551132842865272</c:v>
                </c:pt>
                <c:pt idx="503">
                  <c:v>88.569804670294289</c:v>
                </c:pt>
                <c:pt idx="504">
                  <c:v>88.652931441791168</c:v>
                </c:pt>
                <c:pt idx="505">
                  <c:v>88.657221341242803</c:v>
                </c:pt>
                <c:pt idx="506">
                  <c:v>89.048905636842775</c:v>
                </c:pt>
                <c:pt idx="507">
                  <c:v>89.085966800135907</c:v>
                </c:pt>
                <c:pt idx="508">
                  <c:v>89.124453015211614</c:v>
                </c:pt>
                <c:pt idx="509">
                  <c:v>89.335090930950514</c:v>
                </c:pt>
                <c:pt idx="510">
                  <c:v>89.551271713607818</c:v>
                </c:pt>
                <c:pt idx="511">
                  <c:v>89.673855520002576</c:v>
                </c:pt>
                <c:pt idx="512">
                  <c:v>89.6984078024756</c:v>
                </c:pt>
                <c:pt idx="513">
                  <c:v>89.761791006532107</c:v>
                </c:pt>
                <c:pt idx="514">
                  <c:v>89.775594441251727</c:v>
                </c:pt>
                <c:pt idx="515">
                  <c:v>89.949690384652527</c:v>
                </c:pt>
                <c:pt idx="516">
                  <c:v>90.059814474547451</c:v>
                </c:pt>
                <c:pt idx="517">
                  <c:v>90.092678954244803</c:v>
                </c:pt>
                <c:pt idx="518">
                  <c:v>90.301037295356338</c:v>
                </c:pt>
                <c:pt idx="519">
                  <c:v>90.407163771374059</c:v>
                </c:pt>
                <c:pt idx="520">
                  <c:v>90.441769316261059</c:v>
                </c:pt>
                <c:pt idx="521">
                  <c:v>90.64289974174639</c:v>
                </c:pt>
                <c:pt idx="522">
                  <c:v>90.64899544297748</c:v>
                </c:pt>
                <c:pt idx="523">
                  <c:v>90.760763072800771</c:v>
                </c:pt>
                <c:pt idx="524">
                  <c:v>90.870633720043514</c:v>
                </c:pt>
                <c:pt idx="525">
                  <c:v>90.91040682677189</c:v>
                </c:pt>
                <c:pt idx="526">
                  <c:v>91.348406202103149</c:v>
                </c:pt>
                <c:pt idx="527">
                  <c:v>91.584839299983017</c:v>
                </c:pt>
                <c:pt idx="528">
                  <c:v>91.59664375074577</c:v>
                </c:pt>
                <c:pt idx="529">
                  <c:v>91.705243227413433</c:v>
                </c:pt>
                <c:pt idx="530">
                  <c:v>92.177036885674895</c:v>
                </c:pt>
                <c:pt idx="531">
                  <c:v>92.195809570991145</c:v>
                </c:pt>
                <c:pt idx="532">
                  <c:v>92.356766871822572</c:v>
                </c:pt>
                <c:pt idx="533">
                  <c:v>92.470590614438265</c:v>
                </c:pt>
                <c:pt idx="534">
                  <c:v>92.665519578773996</c:v>
                </c:pt>
                <c:pt idx="535">
                  <c:v>92.749405817383064</c:v>
                </c:pt>
                <c:pt idx="536">
                  <c:v>92.754318059362134</c:v>
                </c:pt>
                <c:pt idx="537">
                  <c:v>92.904218816886825</c:v>
                </c:pt>
                <c:pt idx="538">
                  <c:v>92.931792953656185</c:v>
                </c:pt>
                <c:pt idx="539">
                  <c:v>92.971491944691437</c:v>
                </c:pt>
                <c:pt idx="540">
                  <c:v>92.986169192317035</c:v>
                </c:pt>
                <c:pt idx="541">
                  <c:v>93.011658946272632</c:v>
                </c:pt>
                <c:pt idx="542">
                  <c:v>93.118972662006698</c:v>
                </c:pt>
                <c:pt idx="543">
                  <c:v>93.4491943313284</c:v>
                </c:pt>
                <c:pt idx="544">
                  <c:v>93.568558490893224</c:v>
                </c:pt>
                <c:pt idx="545">
                  <c:v>93.761075001606116</c:v>
                </c:pt>
                <c:pt idx="546">
                  <c:v>93.812957703790644</c:v>
                </c:pt>
                <c:pt idx="547">
                  <c:v>94.182296294519858</c:v>
                </c:pt>
                <c:pt idx="548">
                  <c:v>94.241822884687878</c:v>
                </c:pt>
                <c:pt idx="549">
                  <c:v>94.370788433703851</c:v>
                </c:pt>
                <c:pt idx="550">
                  <c:v>94.373593955071684</c:v>
                </c:pt>
                <c:pt idx="551">
                  <c:v>94.665619515186549</c:v>
                </c:pt>
                <c:pt idx="552">
                  <c:v>94.725576309308693</c:v>
                </c:pt>
                <c:pt idx="553">
                  <c:v>94.750972043281607</c:v>
                </c:pt>
                <c:pt idx="554">
                  <c:v>94.868836730841139</c:v>
                </c:pt>
                <c:pt idx="555">
                  <c:v>95.077933218281743</c:v>
                </c:pt>
                <c:pt idx="556">
                  <c:v>95.084619544696551</c:v>
                </c:pt>
                <c:pt idx="557">
                  <c:v>95.189135441694845</c:v>
                </c:pt>
                <c:pt idx="558">
                  <c:v>95.384321841985937</c:v>
                </c:pt>
                <c:pt idx="559">
                  <c:v>95.389923447967647</c:v>
                </c:pt>
                <c:pt idx="560">
                  <c:v>95.497255554371378</c:v>
                </c:pt>
                <c:pt idx="561">
                  <c:v>95.634217968208731</c:v>
                </c:pt>
                <c:pt idx="562">
                  <c:v>95.673925829385382</c:v>
                </c:pt>
                <c:pt idx="563">
                  <c:v>95.994122711749526</c:v>
                </c:pt>
                <c:pt idx="564">
                  <c:v>96.352105552603476</c:v>
                </c:pt>
                <c:pt idx="565">
                  <c:v>96.398950925685583</c:v>
                </c:pt>
                <c:pt idx="566">
                  <c:v>96.426524796961857</c:v>
                </c:pt>
                <c:pt idx="567">
                  <c:v>96.554381174218733</c:v>
                </c:pt>
                <c:pt idx="568">
                  <c:v>96.584600561735925</c:v>
                </c:pt>
                <c:pt idx="569">
                  <c:v>96.659314020308955</c:v>
                </c:pt>
                <c:pt idx="570">
                  <c:v>96.707095199038775</c:v>
                </c:pt>
                <c:pt idx="571">
                  <c:v>96.788543314465528</c:v>
                </c:pt>
                <c:pt idx="572">
                  <c:v>96.913280116967798</c:v>
                </c:pt>
                <c:pt idx="573">
                  <c:v>96.915417345550665</c:v>
                </c:pt>
                <c:pt idx="574">
                  <c:v>97.181525173686978</c:v>
                </c:pt>
                <c:pt idx="575">
                  <c:v>97.289252513369007</c:v>
                </c:pt>
                <c:pt idx="576">
                  <c:v>97.3821900166582</c:v>
                </c:pt>
                <c:pt idx="577">
                  <c:v>97.39299313903598</c:v>
                </c:pt>
                <c:pt idx="578">
                  <c:v>97.613383562138637</c:v>
                </c:pt>
                <c:pt idx="579">
                  <c:v>97.684625758442621</c:v>
                </c:pt>
                <c:pt idx="580">
                  <c:v>97.745169633149928</c:v>
                </c:pt>
                <c:pt idx="581">
                  <c:v>97.784241644108079</c:v>
                </c:pt>
                <c:pt idx="582">
                  <c:v>97.788441249765853</c:v>
                </c:pt>
                <c:pt idx="583">
                  <c:v>98.071897443383577</c:v>
                </c:pt>
                <c:pt idx="584">
                  <c:v>98.443057977526365</c:v>
                </c:pt>
                <c:pt idx="585">
                  <c:v>98.584585221037358</c:v>
                </c:pt>
                <c:pt idx="586">
                  <c:v>98.640668843039379</c:v>
                </c:pt>
                <c:pt idx="587">
                  <c:v>98.883075425911755</c:v>
                </c:pt>
                <c:pt idx="588">
                  <c:v>98.910222341157308</c:v>
                </c:pt>
                <c:pt idx="589">
                  <c:v>99.061305983274224</c:v>
                </c:pt>
                <c:pt idx="590">
                  <c:v>99.408351669164617</c:v>
                </c:pt>
                <c:pt idx="591">
                  <c:v>99.551820806957991</c:v>
                </c:pt>
                <c:pt idx="592">
                  <c:v>99.874777144178182</c:v>
                </c:pt>
                <c:pt idx="593">
                  <c:v>99.880944107348341</c:v>
                </c:pt>
                <c:pt idx="594">
                  <c:v>99.990322272117496</c:v>
                </c:pt>
                <c:pt idx="595">
                  <c:v>100.17498572524477</c:v>
                </c:pt>
                <c:pt idx="596">
                  <c:v>100.24124760944939</c:v>
                </c:pt>
                <c:pt idx="597">
                  <c:v>100.41989995661598</c:v>
                </c:pt>
                <c:pt idx="598">
                  <c:v>100.51004873276008</c:v>
                </c:pt>
                <c:pt idx="599">
                  <c:v>100.73835524898942</c:v>
                </c:pt>
                <c:pt idx="600">
                  <c:v>100.74580088014162</c:v>
                </c:pt>
                <c:pt idx="601">
                  <c:v>100.8144922699062</c:v>
                </c:pt>
                <c:pt idx="602">
                  <c:v>101.58029402250833</c:v>
                </c:pt>
                <c:pt idx="603">
                  <c:v>101.61538127264704</c:v>
                </c:pt>
                <c:pt idx="604">
                  <c:v>101.76715600985948</c:v>
                </c:pt>
                <c:pt idx="605">
                  <c:v>101.92073410805705</c:v>
                </c:pt>
                <c:pt idx="606">
                  <c:v>102.09265097602605</c:v>
                </c:pt>
                <c:pt idx="607">
                  <c:v>102.12740820443047</c:v>
                </c:pt>
                <c:pt idx="608">
                  <c:v>102.31675664316973</c:v>
                </c:pt>
                <c:pt idx="609">
                  <c:v>102.33339091784752</c:v>
                </c:pt>
                <c:pt idx="610">
                  <c:v>102.475425256441</c:v>
                </c:pt>
                <c:pt idx="611">
                  <c:v>102.48516080725764</c:v>
                </c:pt>
                <c:pt idx="612">
                  <c:v>102.84313185037767</c:v>
                </c:pt>
                <c:pt idx="613">
                  <c:v>102.89172972099701</c:v>
                </c:pt>
                <c:pt idx="614">
                  <c:v>103.05535184849435</c:v>
                </c:pt>
                <c:pt idx="615">
                  <c:v>103.2911794540738</c:v>
                </c:pt>
                <c:pt idx="616">
                  <c:v>103.46786486094256</c:v>
                </c:pt>
                <c:pt idx="617">
                  <c:v>103.48092620775253</c:v>
                </c:pt>
                <c:pt idx="618">
                  <c:v>103.54105754412781</c:v>
                </c:pt>
                <c:pt idx="619">
                  <c:v>103.66064290745378</c:v>
                </c:pt>
                <c:pt idx="620">
                  <c:v>103.88449629411629</c:v>
                </c:pt>
                <c:pt idx="621">
                  <c:v>103.97027622075281</c:v>
                </c:pt>
                <c:pt idx="622">
                  <c:v>104.01769113058876</c:v>
                </c:pt>
                <c:pt idx="623">
                  <c:v>104.11449099870221</c:v>
                </c:pt>
                <c:pt idx="624">
                  <c:v>104.16792349042974</c:v>
                </c:pt>
                <c:pt idx="625">
                  <c:v>104.35643042526586</c:v>
                </c:pt>
                <c:pt idx="626">
                  <c:v>104.40534997686812</c:v>
                </c:pt>
                <c:pt idx="627">
                  <c:v>104.41738511168279</c:v>
                </c:pt>
                <c:pt idx="628">
                  <c:v>104.44225023624357</c:v>
                </c:pt>
                <c:pt idx="629">
                  <c:v>104.51464819233196</c:v>
                </c:pt>
                <c:pt idx="630">
                  <c:v>104.87649979496216</c:v>
                </c:pt>
                <c:pt idx="631">
                  <c:v>105.03372865713712</c:v>
                </c:pt>
                <c:pt idx="632">
                  <c:v>105.30506533857459</c:v>
                </c:pt>
                <c:pt idx="633">
                  <c:v>105.54833766416125</c:v>
                </c:pt>
                <c:pt idx="634">
                  <c:v>105.8774175114258</c:v>
                </c:pt>
                <c:pt idx="635">
                  <c:v>106.28213472788086</c:v>
                </c:pt>
                <c:pt idx="636">
                  <c:v>106.29474739510594</c:v>
                </c:pt>
                <c:pt idx="637">
                  <c:v>106.33484778639017</c:v>
                </c:pt>
                <c:pt idx="638">
                  <c:v>106.77818505262044</c:v>
                </c:pt>
                <c:pt idx="639">
                  <c:v>106.95146524438701</c:v>
                </c:pt>
                <c:pt idx="640">
                  <c:v>106.95734684206816</c:v>
                </c:pt>
                <c:pt idx="641">
                  <c:v>106.97661824398857</c:v>
                </c:pt>
                <c:pt idx="642">
                  <c:v>107.06939636937042</c:v>
                </c:pt>
                <c:pt idx="643">
                  <c:v>107.33369324981277</c:v>
                </c:pt>
                <c:pt idx="644">
                  <c:v>107.80939526536035</c:v>
                </c:pt>
                <c:pt idx="645">
                  <c:v>107.84726230534088</c:v>
                </c:pt>
                <c:pt idx="646">
                  <c:v>108.00911734805148</c:v>
                </c:pt>
                <c:pt idx="647">
                  <c:v>108.13770653079375</c:v>
                </c:pt>
                <c:pt idx="648">
                  <c:v>108.36612015732139</c:v>
                </c:pt>
                <c:pt idx="649">
                  <c:v>108.4506666975016</c:v>
                </c:pt>
                <c:pt idx="650">
                  <c:v>108.69700234392911</c:v>
                </c:pt>
                <c:pt idx="651">
                  <c:v>109.01602384697995</c:v>
                </c:pt>
                <c:pt idx="652">
                  <c:v>109.05517977622561</c:v>
                </c:pt>
                <c:pt idx="653">
                  <c:v>109.08153975491399</c:v>
                </c:pt>
                <c:pt idx="654">
                  <c:v>109.17962502550441</c:v>
                </c:pt>
                <c:pt idx="655">
                  <c:v>109.32991108876153</c:v>
                </c:pt>
                <c:pt idx="656">
                  <c:v>109.37767256243069</c:v>
                </c:pt>
                <c:pt idx="657">
                  <c:v>109.52802320361992</c:v>
                </c:pt>
                <c:pt idx="658">
                  <c:v>109.74701008475066</c:v>
                </c:pt>
                <c:pt idx="659">
                  <c:v>109.78220171926235</c:v>
                </c:pt>
                <c:pt idx="660">
                  <c:v>110.08394357011619</c:v>
                </c:pt>
                <c:pt idx="661">
                  <c:v>110.5819005246417</c:v>
                </c:pt>
                <c:pt idx="662">
                  <c:v>111.03232973940278</c:v>
                </c:pt>
                <c:pt idx="663">
                  <c:v>111.05517848482083</c:v>
                </c:pt>
                <c:pt idx="664">
                  <c:v>111.17792653293532</c:v>
                </c:pt>
                <c:pt idx="665">
                  <c:v>111.36125834190534</c:v>
                </c:pt>
                <c:pt idx="666">
                  <c:v>111.41254286861812</c:v>
                </c:pt>
                <c:pt idx="667">
                  <c:v>111.57219863132157</c:v>
                </c:pt>
                <c:pt idx="668">
                  <c:v>111.6794631972499</c:v>
                </c:pt>
                <c:pt idx="669">
                  <c:v>111.78890989635907</c:v>
                </c:pt>
                <c:pt idx="670">
                  <c:v>111.7905092109106</c:v>
                </c:pt>
                <c:pt idx="671">
                  <c:v>112.1150878472726</c:v>
                </c:pt>
                <c:pt idx="672">
                  <c:v>112.12782062020736</c:v>
                </c:pt>
                <c:pt idx="673">
                  <c:v>112.78141293229621</c:v>
                </c:pt>
                <c:pt idx="674">
                  <c:v>112.83276099526516</c:v>
                </c:pt>
                <c:pt idx="675">
                  <c:v>112.84210583767802</c:v>
                </c:pt>
                <c:pt idx="676">
                  <c:v>112.88222880435634</c:v>
                </c:pt>
                <c:pt idx="677">
                  <c:v>112.89042366190623</c:v>
                </c:pt>
                <c:pt idx="678">
                  <c:v>112.99127217515475</c:v>
                </c:pt>
                <c:pt idx="679">
                  <c:v>114.2012885370207</c:v>
                </c:pt>
                <c:pt idx="680">
                  <c:v>114.56076473220362</c:v>
                </c:pt>
                <c:pt idx="681">
                  <c:v>114.56309484727979</c:v>
                </c:pt>
                <c:pt idx="682">
                  <c:v>114.7553222590969</c:v>
                </c:pt>
                <c:pt idx="683">
                  <c:v>115.65553598323881</c:v>
                </c:pt>
                <c:pt idx="684">
                  <c:v>115.79077252011476</c:v>
                </c:pt>
                <c:pt idx="685">
                  <c:v>115.83420884345581</c:v>
                </c:pt>
                <c:pt idx="686">
                  <c:v>115.8816593119076</c:v>
                </c:pt>
                <c:pt idx="687">
                  <c:v>116.17811242597647</c:v>
                </c:pt>
                <c:pt idx="688">
                  <c:v>116.68098522332446</c:v>
                </c:pt>
                <c:pt idx="689">
                  <c:v>117.08277205037557</c:v>
                </c:pt>
                <c:pt idx="690">
                  <c:v>117.41065909213746</c:v>
                </c:pt>
                <c:pt idx="691">
                  <c:v>117.66232318006051</c:v>
                </c:pt>
                <c:pt idx="692">
                  <c:v>117.98671891819741</c:v>
                </c:pt>
                <c:pt idx="693">
                  <c:v>118.48612144323975</c:v>
                </c:pt>
                <c:pt idx="694">
                  <c:v>118.48779582113571</c:v>
                </c:pt>
                <c:pt idx="695">
                  <c:v>118.93131808216076</c:v>
                </c:pt>
                <c:pt idx="696">
                  <c:v>119.16074465117627</c:v>
                </c:pt>
                <c:pt idx="697">
                  <c:v>119.36307805156503</c:v>
                </c:pt>
                <c:pt idx="698">
                  <c:v>119.78131926494473</c:v>
                </c:pt>
                <c:pt idx="699">
                  <c:v>120.4758056981285</c:v>
                </c:pt>
                <c:pt idx="700">
                  <c:v>120.51889600113921</c:v>
                </c:pt>
                <c:pt idx="701">
                  <c:v>120.75755833912667</c:v>
                </c:pt>
                <c:pt idx="702">
                  <c:v>120.8825627081044</c:v>
                </c:pt>
                <c:pt idx="703">
                  <c:v>121.17078543843786</c:v>
                </c:pt>
                <c:pt idx="704">
                  <c:v>121.21859604610252</c:v>
                </c:pt>
                <c:pt idx="705">
                  <c:v>121.23895075714688</c:v>
                </c:pt>
                <c:pt idx="706">
                  <c:v>121.85682062498515</c:v>
                </c:pt>
                <c:pt idx="707">
                  <c:v>121.92482682016517</c:v>
                </c:pt>
                <c:pt idx="708">
                  <c:v>122.23063367438382</c:v>
                </c:pt>
                <c:pt idx="709">
                  <c:v>122.27650087706495</c:v>
                </c:pt>
                <c:pt idx="710">
                  <c:v>122.50506493866679</c:v>
                </c:pt>
                <c:pt idx="711">
                  <c:v>122.6624648145367</c:v>
                </c:pt>
                <c:pt idx="712">
                  <c:v>123.04057119328853</c:v>
                </c:pt>
                <c:pt idx="713">
                  <c:v>123.40067810915949</c:v>
                </c:pt>
                <c:pt idx="714">
                  <c:v>123.66697385355133</c:v>
                </c:pt>
                <c:pt idx="715">
                  <c:v>124.05974099929526</c:v>
                </c:pt>
                <c:pt idx="716">
                  <c:v>124.59112359918556</c:v>
                </c:pt>
                <c:pt idx="717">
                  <c:v>124.77809366948844</c:v>
                </c:pt>
                <c:pt idx="718">
                  <c:v>124.8364689993049</c:v>
                </c:pt>
                <c:pt idx="719">
                  <c:v>125.17351925888272</c:v>
                </c:pt>
                <c:pt idx="720">
                  <c:v>125.2626278838862</c:v>
                </c:pt>
                <c:pt idx="721">
                  <c:v>126.42432024385721</c:v>
                </c:pt>
                <c:pt idx="722">
                  <c:v>126.45066792688111</c:v>
                </c:pt>
                <c:pt idx="723">
                  <c:v>126.74334411907925</c:v>
                </c:pt>
                <c:pt idx="724">
                  <c:v>126.77239146756642</c:v>
                </c:pt>
                <c:pt idx="725">
                  <c:v>126.87229382344698</c:v>
                </c:pt>
                <c:pt idx="726">
                  <c:v>126.96622066675714</c:v>
                </c:pt>
                <c:pt idx="727">
                  <c:v>127.16995052549657</c:v>
                </c:pt>
                <c:pt idx="728">
                  <c:v>127.46387586513998</c:v>
                </c:pt>
                <c:pt idx="729">
                  <c:v>127.73030333637136</c:v>
                </c:pt>
                <c:pt idx="730">
                  <c:v>128.21068523423926</c:v>
                </c:pt>
                <c:pt idx="731">
                  <c:v>128.50447959595925</c:v>
                </c:pt>
                <c:pt idx="732">
                  <c:v>128.90677719180937</c:v>
                </c:pt>
                <c:pt idx="733">
                  <c:v>128.94405979441538</c:v>
                </c:pt>
                <c:pt idx="734">
                  <c:v>129.0315481096975</c:v>
                </c:pt>
                <c:pt idx="735">
                  <c:v>129.10522219255114</c:v>
                </c:pt>
                <c:pt idx="736">
                  <c:v>129.38255485347958</c:v>
                </c:pt>
                <c:pt idx="737">
                  <c:v>129.45986415488514</c:v>
                </c:pt>
                <c:pt idx="738">
                  <c:v>129.66208990832561</c:v>
                </c:pt>
                <c:pt idx="739">
                  <c:v>130.32727616829968</c:v>
                </c:pt>
                <c:pt idx="740">
                  <c:v>130.3423149075536</c:v>
                </c:pt>
                <c:pt idx="741">
                  <c:v>130.87661882962092</c:v>
                </c:pt>
                <c:pt idx="742">
                  <c:v>130.9369158196082</c:v>
                </c:pt>
                <c:pt idx="743">
                  <c:v>131.11438540359399</c:v>
                </c:pt>
                <c:pt idx="744">
                  <c:v>131.12222006652468</c:v>
                </c:pt>
                <c:pt idx="745">
                  <c:v>131.14753683849366</c:v>
                </c:pt>
                <c:pt idx="746">
                  <c:v>131.2507227469616</c:v>
                </c:pt>
                <c:pt idx="747">
                  <c:v>131.66108591429528</c:v>
                </c:pt>
                <c:pt idx="748">
                  <c:v>131.7210593209202</c:v>
                </c:pt>
                <c:pt idx="749">
                  <c:v>131.77154409834978</c:v>
                </c:pt>
                <c:pt idx="750">
                  <c:v>132.29296433353599</c:v>
                </c:pt>
                <c:pt idx="751">
                  <c:v>132.46041634689959</c:v>
                </c:pt>
                <c:pt idx="752">
                  <c:v>132.59703266991644</c:v>
                </c:pt>
                <c:pt idx="753">
                  <c:v>132.71194692335595</c:v>
                </c:pt>
                <c:pt idx="754">
                  <c:v>132.81462740535363</c:v>
                </c:pt>
                <c:pt idx="755">
                  <c:v>132.88346712554534</c:v>
                </c:pt>
                <c:pt idx="756">
                  <c:v>132.96291975163129</c:v>
                </c:pt>
                <c:pt idx="757">
                  <c:v>133.06761284647911</c:v>
                </c:pt>
                <c:pt idx="758">
                  <c:v>133.56813926957921</c:v>
                </c:pt>
                <c:pt idx="759">
                  <c:v>133.76835190419229</c:v>
                </c:pt>
                <c:pt idx="760">
                  <c:v>133.95198501623622</c:v>
                </c:pt>
                <c:pt idx="761">
                  <c:v>134.01026531054873</c:v>
                </c:pt>
                <c:pt idx="762">
                  <c:v>134.05579898781906</c:v>
                </c:pt>
                <c:pt idx="763">
                  <c:v>134.30876665062954</c:v>
                </c:pt>
                <c:pt idx="764">
                  <c:v>134.38456973268163</c:v>
                </c:pt>
                <c:pt idx="765">
                  <c:v>135.16105440980911</c:v>
                </c:pt>
                <c:pt idx="766">
                  <c:v>136.16554670289941</c:v>
                </c:pt>
                <c:pt idx="767">
                  <c:v>136.45323353351617</c:v>
                </c:pt>
                <c:pt idx="768">
                  <c:v>136.48451173637523</c:v>
                </c:pt>
                <c:pt idx="769">
                  <c:v>137.92912591640157</c:v>
                </c:pt>
                <c:pt idx="770">
                  <c:v>137.96016982944352</c:v>
                </c:pt>
                <c:pt idx="771">
                  <c:v>138.15726293067743</c:v>
                </c:pt>
                <c:pt idx="772">
                  <c:v>139.03890354968632</c:v>
                </c:pt>
                <c:pt idx="773">
                  <c:v>139.42269230800866</c:v>
                </c:pt>
                <c:pt idx="774">
                  <c:v>139.60594984889519</c:v>
                </c:pt>
                <c:pt idx="775">
                  <c:v>139.71319436606498</c:v>
                </c:pt>
                <c:pt idx="776">
                  <c:v>139.84782907479482</c:v>
                </c:pt>
                <c:pt idx="777">
                  <c:v>140.05108905467279</c:v>
                </c:pt>
                <c:pt idx="778">
                  <c:v>141.15539273217829</c:v>
                </c:pt>
                <c:pt idx="779">
                  <c:v>141.20646258151314</c:v>
                </c:pt>
                <c:pt idx="780">
                  <c:v>142.00783121691168</c:v>
                </c:pt>
                <c:pt idx="781">
                  <c:v>142.89883872385985</c:v>
                </c:pt>
                <c:pt idx="782">
                  <c:v>143.11037775341438</c:v>
                </c:pt>
                <c:pt idx="783">
                  <c:v>143.55260082891013</c:v>
                </c:pt>
                <c:pt idx="784">
                  <c:v>143.70422210921751</c:v>
                </c:pt>
                <c:pt idx="785">
                  <c:v>143.9246785345598</c:v>
                </c:pt>
                <c:pt idx="786">
                  <c:v>144.29918190661283</c:v>
                </c:pt>
                <c:pt idx="787">
                  <c:v>144.46054685542521</c:v>
                </c:pt>
                <c:pt idx="788">
                  <c:v>144.51497998389155</c:v>
                </c:pt>
                <c:pt idx="789">
                  <c:v>144.5902347934524</c:v>
                </c:pt>
                <c:pt idx="790">
                  <c:v>144.90708754710477</c:v>
                </c:pt>
                <c:pt idx="791">
                  <c:v>145.00458397733553</c:v>
                </c:pt>
                <c:pt idx="792">
                  <c:v>145.02697541340711</c:v>
                </c:pt>
                <c:pt idx="793">
                  <c:v>145.45906228663432</c:v>
                </c:pt>
                <c:pt idx="794">
                  <c:v>146.28940089428218</c:v>
                </c:pt>
                <c:pt idx="795">
                  <c:v>146.69968817473912</c:v>
                </c:pt>
                <c:pt idx="796">
                  <c:v>147.07045466102028</c:v>
                </c:pt>
                <c:pt idx="797">
                  <c:v>147.30613329855666</c:v>
                </c:pt>
                <c:pt idx="798">
                  <c:v>147.37149204027261</c:v>
                </c:pt>
                <c:pt idx="799">
                  <c:v>147.37579171655693</c:v>
                </c:pt>
                <c:pt idx="800">
                  <c:v>147.39103007566649</c:v>
                </c:pt>
                <c:pt idx="801">
                  <c:v>147.68366783094419</c:v>
                </c:pt>
                <c:pt idx="802">
                  <c:v>148.08437930734581</c:v>
                </c:pt>
                <c:pt idx="803">
                  <c:v>148.29900959771683</c:v>
                </c:pt>
                <c:pt idx="804">
                  <c:v>149.23216617084282</c:v>
                </c:pt>
                <c:pt idx="805">
                  <c:v>149.93413603379139</c:v>
                </c:pt>
                <c:pt idx="806">
                  <c:v>150.02820619939141</c:v>
                </c:pt>
                <c:pt idx="807">
                  <c:v>150.22732560434952</c:v>
                </c:pt>
                <c:pt idx="808">
                  <c:v>150.699597023412</c:v>
                </c:pt>
                <c:pt idx="809">
                  <c:v>150.79565841309531</c:v>
                </c:pt>
                <c:pt idx="810">
                  <c:v>151.1330074696167</c:v>
                </c:pt>
                <c:pt idx="811">
                  <c:v>151.28493217838144</c:v>
                </c:pt>
                <c:pt idx="812">
                  <c:v>151.45288100121826</c:v>
                </c:pt>
                <c:pt idx="813">
                  <c:v>151.61574326877877</c:v>
                </c:pt>
                <c:pt idx="814">
                  <c:v>152.07374443898175</c:v>
                </c:pt>
                <c:pt idx="815">
                  <c:v>152.38878964116574</c:v>
                </c:pt>
                <c:pt idx="816">
                  <c:v>152.84183012487534</c:v>
                </c:pt>
                <c:pt idx="817">
                  <c:v>152.97502732737613</c:v>
                </c:pt>
                <c:pt idx="818">
                  <c:v>153.08211000471556</c:v>
                </c:pt>
                <c:pt idx="819">
                  <c:v>153.22692115165509</c:v>
                </c:pt>
                <c:pt idx="820">
                  <c:v>153.49005938878889</c:v>
                </c:pt>
                <c:pt idx="821">
                  <c:v>153.87653408327932</c:v>
                </c:pt>
                <c:pt idx="822">
                  <c:v>154.70652960227252</c:v>
                </c:pt>
                <c:pt idx="823">
                  <c:v>154.72677122881024</c:v>
                </c:pt>
                <c:pt idx="824">
                  <c:v>154.85640775271645</c:v>
                </c:pt>
                <c:pt idx="825">
                  <c:v>155.07504746176278</c:v>
                </c:pt>
                <c:pt idx="826">
                  <c:v>155.18915571161583</c:v>
                </c:pt>
                <c:pt idx="827">
                  <c:v>155.43177065215869</c:v>
                </c:pt>
                <c:pt idx="828">
                  <c:v>155.44268677770174</c:v>
                </c:pt>
                <c:pt idx="829">
                  <c:v>155.73606783790194</c:v>
                </c:pt>
                <c:pt idx="830">
                  <c:v>156.05492159715487</c:v>
                </c:pt>
                <c:pt idx="831">
                  <c:v>156.4110913615672</c:v>
                </c:pt>
                <c:pt idx="832">
                  <c:v>156.46878169592125</c:v>
                </c:pt>
                <c:pt idx="833">
                  <c:v>156.67395438238179</c:v>
                </c:pt>
                <c:pt idx="834">
                  <c:v>156.83483464689618</c:v>
                </c:pt>
                <c:pt idx="835">
                  <c:v>157.00844976314195</c:v>
                </c:pt>
                <c:pt idx="836">
                  <c:v>157.10011911124883</c:v>
                </c:pt>
                <c:pt idx="837">
                  <c:v>157.32316693818188</c:v>
                </c:pt>
                <c:pt idx="838">
                  <c:v>158.13459378870206</c:v>
                </c:pt>
                <c:pt idx="839">
                  <c:v>158.99892816464643</c:v>
                </c:pt>
                <c:pt idx="840">
                  <c:v>160.18760375248812</c:v>
                </c:pt>
                <c:pt idx="841">
                  <c:v>160.37771916072651</c:v>
                </c:pt>
                <c:pt idx="842">
                  <c:v>160.54271636905582</c:v>
                </c:pt>
                <c:pt idx="843">
                  <c:v>160.74634449297861</c:v>
                </c:pt>
                <c:pt idx="844">
                  <c:v>161.10930027573639</c:v>
                </c:pt>
                <c:pt idx="845">
                  <c:v>161.22875799868851</c:v>
                </c:pt>
                <c:pt idx="846">
                  <c:v>161.33453095938685</c:v>
                </c:pt>
                <c:pt idx="847">
                  <c:v>161.58365269269518</c:v>
                </c:pt>
                <c:pt idx="848">
                  <c:v>161.64668566848704</c:v>
                </c:pt>
                <c:pt idx="849">
                  <c:v>162.28883375401972</c:v>
                </c:pt>
                <c:pt idx="850">
                  <c:v>162.90617932487942</c:v>
                </c:pt>
                <c:pt idx="851">
                  <c:v>163.37540397363861</c:v>
                </c:pt>
                <c:pt idx="852">
                  <c:v>163.5636800796598</c:v>
                </c:pt>
                <c:pt idx="853">
                  <c:v>163.62250797067611</c:v>
                </c:pt>
                <c:pt idx="854">
                  <c:v>163.97167502717667</c:v>
                </c:pt>
                <c:pt idx="855">
                  <c:v>164.09287564267444</c:v>
                </c:pt>
                <c:pt idx="856">
                  <c:v>164.54644950699725</c:v>
                </c:pt>
                <c:pt idx="857">
                  <c:v>165.74401831255952</c:v>
                </c:pt>
                <c:pt idx="858">
                  <c:v>167.02450212771896</c:v>
                </c:pt>
                <c:pt idx="859">
                  <c:v>167.63636238686627</c:v>
                </c:pt>
                <c:pt idx="860">
                  <c:v>168.68666776246195</c:v>
                </c:pt>
                <c:pt idx="861">
                  <c:v>169.7824809636368</c:v>
                </c:pt>
                <c:pt idx="862">
                  <c:v>170.84937206553593</c:v>
                </c:pt>
                <c:pt idx="863">
                  <c:v>170.9295655504788</c:v>
                </c:pt>
                <c:pt idx="864">
                  <c:v>171.78747162381501</c:v>
                </c:pt>
                <c:pt idx="865">
                  <c:v>172.31080995817305</c:v>
                </c:pt>
                <c:pt idx="866">
                  <c:v>172.52073825552478</c:v>
                </c:pt>
                <c:pt idx="867">
                  <c:v>173.84893132641957</c:v>
                </c:pt>
                <c:pt idx="868">
                  <c:v>174.11833433796534</c:v>
                </c:pt>
                <c:pt idx="869">
                  <c:v>174.84554201710654</c:v>
                </c:pt>
                <c:pt idx="870">
                  <c:v>175.34256090186727</c:v>
                </c:pt>
                <c:pt idx="871">
                  <c:v>175.36713240834266</c:v>
                </c:pt>
                <c:pt idx="872">
                  <c:v>175.67321129325916</c:v>
                </c:pt>
                <c:pt idx="873">
                  <c:v>175.96200381690909</c:v>
                </c:pt>
                <c:pt idx="874">
                  <c:v>176.15401942116927</c:v>
                </c:pt>
                <c:pt idx="875">
                  <c:v>177.04892432856258</c:v>
                </c:pt>
                <c:pt idx="876">
                  <c:v>177.24814659614069</c:v>
                </c:pt>
                <c:pt idx="877">
                  <c:v>177.32269635741994</c:v>
                </c:pt>
                <c:pt idx="878">
                  <c:v>177.46629987664329</c:v>
                </c:pt>
                <c:pt idx="879">
                  <c:v>177.92241042681778</c:v>
                </c:pt>
                <c:pt idx="880">
                  <c:v>177.9796423594623</c:v>
                </c:pt>
                <c:pt idx="881">
                  <c:v>179.80668004240897</c:v>
                </c:pt>
                <c:pt idx="882">
                  <c:v>180.67430907846301</c:v>
                </c:pt>
                <c:pt idx="883">
                  <c:v>180.77130424545308</c:v>
                </c:pt>
                <c:pt idx="884">
                  <c:v>182.71582919607056</c:v>
                </c:pt>
                <c:pt idx="885">
                  <c:v>182.76133900457742</c:v>
                </c:pt>
                <c:pt idx="886">
                  <c:v>183.1692350105927</c:v>
                </c:pt>
                <c:pt idx="887">
                  <c:v>183.63348929759627</c:v>
                </c:pt>
                <c:pt idx="888">
                  <c:v>184.27284947948868</c:v>
                </c:pt>
                <c:pt idx="889">
                  <c:v>185.39802863731356</c:v>
                </c:pt>
                <c:pt idx="890">
                  <c:v>186.76139602559317</c:v>
                </c:pt>
                <c:pt idx="891">
                  <c:v>187.2104556842707</c:v>
                </c:pt>
                <c:pt idx="892">
                  <c:v>187.54668800544613</c:v>
                </c:pt>
                <c:pt idx="893">
                  <c:v>187.99340957165361</c:v>
                </c:pt>
                <c:pt idx="894">
                  <c:v>188.1084551831176</c:v>
                </c:pt>
                <c:pt idx="895">
                  <c:v>188.57582452798891</c:v>
                </c:pt>
                <c:pt idx="896">
                  <c:v>188.86759204784951</c:v>
                </c:pt>
                <c:pt idx="897">
                  <c:v>189.11949337456039</c:v>
                </c:pt>
                <c:pt idx="898">
                  <c:v>189.45149280807004</c:v>
                </c:pt>
                <c:pt idx="899">
                  <c:v>189.87114264023012</c:v>
                </c:pt>
                <c:pt idx="900">
                  <c:v>191.1504183895546</c:v>
                </c:pt>
                <c:pt idx="901">
                  <c:v>192.65477337928542</c:v>
                </c:pt>
                <c:pt idx="902">
                  <c:v>192.97471484317407</c:v>
                </c:pt>
                <c:pt idx="903">
                  <c:v>193.22554662692096</c:v>
                </c:pt>
                <c:pt idx="904">
                  <c:v>194.50035590828324</c:v>
                </c:pt>
                <c:pt idx="905">
                  <c:v>195.00192145941963</c:v>
                </c:pt>
                <c:pt idx="906">
                  <c:v>195.8927100735753</c:v>
                </c:pt>
                <c:pt idx="907">
                  <c:v>196.68110381978741</c:v>
                </c:pt>
                <c:pt idx="908">
                  <c:v>197.92758248357666</c:v>
                </c:pt>
                <c:pt idx="909">
                  <c:v>199.05885365669548</c:v>
                </c:pt>
                <c:pt idx="910">
                  <c:v>199.91894000171635</c:v>
                </c:pt>
                <c:pt idx="911">
                  <c:v>200.28261553504493</c:v>
                </c:pt>
                <c:pt idx="912">
                  <c:v>200.40231992143291</c:v>
                </c:pt>
                <c:pt idx="913">
                  <c:v>201.68847820479442</c:v>
                </c:pt>
                <c:pt idx="914">
                  <c:v>201.81090493056803</c:v>
                </c:pt>
                <c:pt idx="915">
                  <c:v>202.07587950644759</c:v>
                </c:pt>
                <c:pt idx="916">
                  <c:v>202.57187385635751</c:v>
                </c:pt>
                <c:pt idx="917">
                  <c:v>203.70715848454833</c:v>
                </c:pt>
                <c:pt idx="918">
                  <c:v>203.97423965284025</c:v>
                </c:pt>
                <c:pt idx="919">
                  <c:v>204.0824834395643</c:v>
                </c:pt>
                <c:pt idx="920">
                  <c:v>204.57303408346252</c:v>
                </c:pt>
                <c:pt idx="921">
                  <c:v>204.99126089877126</c:v>
                </c:pt>
                <c:pt idx="922">
                  <c:v>206.37859169209838</c:v>
                </c:pt>
                <c:pt idx="923">
                  <c:v>206.66495104938716</c:v>
                </c:pt>
                <c:pt idx="924">
                  <c:v>207.03339082896179</c:v>
                </c:pt>
                <c:pt idx="925">
                  <c:v>208.02047268910772</c:v>
                </c:pt>
                <c:pt idx="926">
                  <c:v>208.72439062644892</c:v>
                </c:pt>
                <c:pt idx="927">
                  <c:v>210.31420784349058</c:v>
                </c:pt>
                <c:pt idx="928">
                  <c:v>210.5970183656691</c:v>
                </c:pt>
                <c:pt idx="929">
                  <c:v>210.96716958147948</c:v>
                </c:pt>
                <c:pt idx="930">
                  <c:v>212.71227460215562</c:v>
                </c:pt>
                <c:pt idx="931">
                  <c:v>216.36270766858888</c:v>
                </c:pt>
                <c:pt idx="932">
                  <c:v>217.27273581498503</c:v>
                </c:pt>
                <c:pt idx="933">
                  <c:v>218.98277515688994</c:v>
                </c:pt>
                <c:pt idx="934">
                  <c:v>220.15607838638039</c:v>
                </c:pt>
                <c:pt idx="935">
                  <c:v>220.56336267505637</c:v>
                </c:pt>
                <c:pt idx="936">
                  <c:v>221.17011943749768</c:v>
                </c:pt>
                <c:pt idx="937">
                  <c:v>221.4142335841276</c:v>
                </c:pt>
                <c:pt idx="938">
                  <c:v>221.45679419750189</c:v>
                </c:pt>
                <c:pt idx="939">
                  <c:v>221.84404350406032</c:v>
                </c:pt>
                <c:pt idx="940">
                  <c:v>227.85914427135504</c:v>
                </c:pt>
                <c:pt idx="941">
                  <c:v>228.41871673881465</c:v>
                </c:pt>
                <c:pt idx="942">
                  <c:v>228.61404744445116</c:v>
                </c:pt>
                <c:pt idx="943">
                  <c:v>231.04933441746888</c:v>
                </c:pt>
                <c:pt idx="944">
                  <c:v>232.31107331526871</c:v>
                </c:pt>
                <c:pt idx="945">
                  <c:v>235.91171428277303</c:v>
                </c:pt>
                <c:pt idx="946">
                  <c:v>236.17316651791981</c:v>
                </c:pt>
                <c:pt idx="947">
                  <c:v>237.96708136889845</c:v>
                </c:pt>
                <c:pt idx="948">
                  <c:v>238.6204872183387</c:v>
                </c:pt>
                <c:pt idx="949">
                  <c:v>240.00544933705586</c:v>
                </c:pt>
                <c:pt idx="950">
                  <c:v>240.33885435260109</c:v>
                </c:pt>
                <c:pt idx="951">
                  <c:v>240.45689553930086</c:v>
                </c:pt>
                <c:pt idx="952">
                  <c:v>243.32394708719843</c:v>
                </c:pt>
                <c:pt idx="953">
                  <c:v>244.08179598445</c:v>
                </c:pt>
                <c:pt idx="954">
                  <c:v>245.01734816220818</c:v>
                </c:pt>
                <c:pt idx="955">
                  <c:v>245.28550467996814</c:v>
                </c:pt>
                <c:pt idx="956">
                  <c:v>245.29718006997348</c:v>
                </c:pt>
                <c:pt idx="957">
                  <c:v>246.17000487225553</c:v>
                </c:pt>
                <c:pt idx="958">
                  <c:v>246.35798728745178</c:v>
                </c:pt>
                <c:pt idx="959">
                  <c:v>246.66599620387402</c:v>
                </c:pt>
                <c:pt idx="960">
                  <c:v>248.65006630494005</c:v>
                </c:pt>
                <c:pt idx="961">
                  <c:v>250.76948107983989</c:v>
                </c:pt>
                <c:pt idx="962">
                  <c:v>251.36181830448626</c:v>
                </c:pt>
                <c:pt idx="963">
                  <c:v>253.14413004942185</c:v>
                </c:pt>
                <c:pt idx="964">
                  <c:v>254.48278894736069</c:v>
                </c:pt>
                <c:pt idx="965">
                  <c:v>255.56982946917083</c:v>
                </c:pt>
                <c:pt idx="966">
                  <c:v>255.889736312704</c:v>
                </c:pt>
                <c:pt idx="967">
                  <c:v>257.45608744767435</c:v>
                </c:pt>
                <c:pt idx="968">
                  <c:v>261.19190174129028</c:v>
                </c:pt>
                <c:pt idx="969">
                  <c:v>262.13042690885754</c:v>
                </c:pt>
                <c:pt idx="970">
                  <c:v>264.27138203206675</c:v>
                </c:pt>
                <c:pt idx="971">
                  <c:v>267.07870429480965</c:v>
                </c:pt>
                <c:pt idx="972">
                  <c:v>269.39397781165877</c:v>
                </c:pt>
                <c:pt idx="973">
                  <c:v>272.04920323500244</c:v>
                </c:pt>
                <c:pt idx="974">
                  <c:v>272.45147330587213</c:v>
                </c:pt>
                <c:pt idx="975">
                  <c:v>273.78553513930933</c:v>
                </c:pt>
                <c:pt idx="976">
                  <c:v>275.01783351404572</c:v>
                </c:pt>
                <c:pt idx="977">
                  <c:v>276.61474744805446</c:v>
                </c:pt>
                <c:pt idx="978">
                  <c:v>289.68374793043279</c:v>
                </c:pt>
                <c:pt idx="979">
                  <c:v>290.45118531216127</c:v>
                </c:pt>
                <c:pt idx="980">
                  <c:v>293.17275445212584</c:v>
                </c:pt>
                <c:pt idx="981">
                  <c:v>295.58530711241042</c:v>
                </c:pt>
                <c:pt idx="982">
                  <c:v>295.80635145990613</c:v>
                </c:pt>
                <c:pt idx="983">
                  <c:v>303.78853377116064</c:v>
                </c:pt>
                <c:pt idx="984">
                  <c:v>314.69388826847018</c:v>
                </c:pt>
                <c:pt idx="985">
                  <c:v>315.40563649528417</c:v>
                </c:pt>
                <c:pt idx="986">
                  <c:v>320.34549944525901</c:v>
                </c:pt>
                <c:pt idx="987">
                  <c:v>323.57639272182865</c:v>
                </c:pt>
                <c:pt idx="988">
                  <c:v>330.38293202348285</c:v>
                </c:pt>
                <c:pt idx="989">
                  <c:v>344.68377972521915</c:v>
                </c:pt>
                <c:pt idx="990">
                  <c:v>352.91586272574477</c:v>
                </c:pt>
                <c:pt idx="991">
                  <c:v>355.48808414215728</c:v>
                </c:pt>
                <c:pt idx="992">
                  <c:v>358.53490228108217</c:v>
                </c:pt>
                <c:pt idx="993">
                  <c:v>361.96201932153326</c:v>
                </c:pt>
                <c:pt idx="994">
                  <c:v>367.44158956252988</c:v>
                </c:pt>
                <c:pt idx="995">
                  <c:v>396.29843678633193</c:v>
                </c:pt>
                <c:pt idx="996">
                  <c:v>452.50818614515572</c:v>
                </c:pt>
                <c:pt idx="997">
                  <c:v>461.46797929160311</c:v>
                </c:pt>
                <c:pt idx="998">
                  <c:v>560.93871155956231</c:v>
                </c:pt>
                <c:pt idx="999">
                  <c:v>617.54330036857414</c:v>
                </c:pt>
              </c:numCache>
            </c:numRef>
          </c:xVal>
          <c:yVal>
            <c:numRef>
              <c:f>'Numerical integration'!$E$13:$E$1012</c:f>
              <c:numCache>
                <c:formatCode>0.00</c:formatCode>
                <c:ptCount val="1000"/>
                <c:pt idx="0">
                  <c:v>70.115597704068577</c:v>
                </c:pt>
                <c:pt idx="1">
                  <c:v>67.077114295499442</c:v>
                </c:pt>
                <c:pt idx="2">
                  <c:v>66.600696618235474</c:v>
                </c:pt>
                <c:pt idx="3">
                  <c:v>64.48495486428078</c:v>
                </c:pt>
                <c:pt idx="4">
                  <c:v>62.206793969346563</c:v>
                </c:pt>
                <c:pt idx="5">
                  <c:v>62.17210074043696</c:v>
                </c:pt>
                <c:pt idx="6">
                  <c:v>61.337344292116427</c:v>
                </c:pt>
                <c:pt idx="7">
                  <c:v>59.704410135199396</c:v>
                </c:pt>
                <c:pt idx="8">
                  <c:v>59.433195389017015</c:v>
                </c:pt>
                <c:pt idx="9">
                  <c:v>59.130143316303396</c:v>
                </c:pt>
                <c:pt idx="10">
                  <c:v>59.021150887195461</c:v>
                </c:pt>
                <c:pt idx="11">
                  <c:v>58.68305593528347</c:v>
                </c:pt>
                <c:pt idx="12">
                  <c:v>58.62455935907785</c:v>
                </c:pt>
                <c:pt idx="13">
                  <c:v>58.2049546938443</c:v>
                </c:pt>
                <c:pt idx="14">
                  <c:v>58.128184910472967</c:v>
                </c:pt>
                <c:pt idx="15">
                  <c:v>58.062758906648583</c:v>
                </c:pt>
                <c:pt idx="16">
                  <c:v>57.669435389643283</c:v>
                </c:pt>
                <c:pt idx="17">
                  <c:v>56.789513395779082</c:v>
                </c:pt>
                <c:pt idx="18">
                  <c:v>56.162226299400089</c:v>
                </c:pt>
                <c:pt idx="19">
                  <c:v>55.904527470369722</c:v>
                </c:pt>
                <c:pt idx="20">
                  <c:v>55.006312902206062</c:v>
                </c:pt>
                <c:pt idx="21">
                  <c:v>53.86844842310591</c:v>
                </c:pt>
                <c:pt idx="22">
                  <c:v>53.687394279893802</c:v>
                </c:pt>
                <c:pt idx="23">
                  <c:v>53.529252067169871</c:v>
                </c:pt>
                <c:pt idx="24">
                  <c:v>52.854732408921159</c:v>
                </c:pt>
                <c:pt idx="25">
                  <c:v>52.748739313739279</c:v>
                </c:pt>
                <c:pt idx="26">
                  <c:v>52.581297662648367</c:v>
                </c:pt>
                <c:pt idx="27">
                  <c:v>52.496632056485282</c:v>
                </c:pt>
                <c:pt idx="28">
                  <c:v>52.475240143001784</c:v>
                </c:pt>
                <c:pt idx="29">
                  <c:v>52.253556946207709</c:v>
                </c:pt>
                <c:pt idx="30">
                  <c:v>52.199529682094386</c:v>
                </c:pt>
                <c:pt idx="31">
                  <c:v>51.78211944828562</c:v>
                </c:pt>
                <c:pt idx="32">
                  <c:v>51.464448477814003</c:v>
                </c:pt>
                <c:pt idx="33">
                  <c:v>50.879216029167829</c:v>
                </c:pt>
                <c:pt idx="34">
                  <c:v>50.848660437643048</c:v>
                </c:pt>
                <c:pt idx="35">
                  <c:v>50.457943086423072</c:v>
                </c:pt>
                <c:pt idx="36">
                  <c:v>50.393186738053366</c:v>
                </c:pt>
                <c:pt idx="37">
                  <c:v>49.986061419580693</c:v>
                </c:pt>
                <c:pt idx="38">
                  <c:v>49.426621125929998</c:v>
                </c:pt>
                <c:pt idx="39">
                  <c:v>49.349554409203513</c:v>
                </c:pt>
                <c:pt idx="40">
                  <c:v>49.105752365953826</c:v>
                </c:pt>
                <c:pt idx="41">
                  <c:v>48.583409325062618</c:v>
                </c:pt>
                <c:pt idx="42">
                  <c:v>48.197652712655383</c:v>
                </c:pt>
                <c:pt idx="43">
                  <c:v>48.171604163116577</c:v>
                </c:pt>
                <c:pt idx="44">
                  <c:v>47.781835228342949</c:v>
                </c:pt>
                <c:pt idx="45">
                  <c:v>47.609723636148452</c:v>
                </c:pt>
                <c:pt idx="46">
                  <c:v>47.403543236940664</c:v>
                </c:pt>
                <c:pt idx="47">
                  <c:v>46.441960126564545</c:v>
                </c:pt>
                <c:pt idx="48">
                  <c:v>46.021510011768562</c:v>
                </c:pt>
                <c:pt idx="49">
                  <c:v>45.953224262395224</c:v>
                </c:pt>
                <c:pt idx="50">
                  <c:v>45.864283798291176</c:v>
                </c:pt>
                <c:pt idx="51">
                  <c:v>45.827671494124608</c:v>
                </c:pt>
                <c:pt idx="52">
                  <c:v>45.079691869717387</c:v>
                </c:pt>
                <c:pt idx="53">
                  <c:v>45.021709143730213</c:v>
                </c:pt>
                <c:pt idx="54">
                  <c:v>44.870564236579895</c:v>
                </c:pt>
                <c:pt idx="55">
                  <c:v>44.775543882125739</c:v>
                </c:pt>
                <c:pt idx="56">
                  <c:v>44.163038527628267</c:v>
                </c:pt>
                <c:pt idx="57">
                  <c:v>44.0353928752304</c:v>
                </c:pt>
                <c:pt idx="58">
                  <c:v>43.923733718899278</c:v>
                </c:pt>
                <c:pt idx="59">
                  <c:v>43.761665365352961</c:v>
                </c:pt>
                <c:pt idx="60">
                  <c:v>43.630168017427877</c:v>
                </c:pt>
                <c:pt idx="61">
                  <c:v>43.456138229584063</c:v>
                </c:pt>
                <c:pt idx="62">
                  <c:v>43.393466736374684</c:v>
                </c:pt>
                <c:pt idx="63">
                  <c:v>43.26902677607773</c:v>
                </c:pt>
                <c:pt idx="64">
                  <c:v>43.191018161551618</c:v>
                </c:pt>
                <c:pt idx="65">
                  <c:v>42.705620195356317</c:v>
                </c:pt>
                <c:pt idx="66">
                  <c:v>42.666628942854757</c:v>
                </c:pt>
                <c:pt idx="67">
                  <c:v>42.486954961307752</c:v>
                </c:pt>
                <c:pt idx="68">
                  <c:v>42.360795375902654</c:v>
                </c:pt>
                <c:pt idx="69">
                  <c:v>42.323686729358577</c:v>
                </c:pt>
                <c:pt idx="70">
                  <c:v>41.779095140879583</c:v>
                </c:pt>
                <c:pt idx="71">
                  <c:v>41.734501688500956</c:v>
                </c:pt>
                <c:pt idx="72">
                  <c:v>41.517955129389549</c:v>
                </c:pt>
                <c:pt idx="73">
                  <c:v>41.285725755061819</c:v>
                </c:pt>
                <c:pt idx="74">
                  <c:v>41.149924172245321</c:v>
                </c:pt>
                <c:pt idx="75">
                  <c:v>41.148584248409563</c:v>
                </c:pt>
                <c:pt idx="76">
                  <c:v>41.090308247077921</c:v>
                </c:pt>
                <c:pt idx="77">
                  <c:v>41.085938223299472</c:v>
                </c:pt>
                <c:pt idx="78">
                  <c:v>41.081980094669738</c:v>
                </c:pt>
                <c:pt idx="79">
                  <c:v>40.983798244793199</c:v>
                </c:pt>
                <c:pt idx="80">
                  <c:v>40.845057830424125</c:v>
                </c:pt>
                <c:pt idx="81">
                  <c:v>40.795221241985104</c:v>
                </c:pt>
                <c:pt idx="82">
                  <c:v>40.64112352972306</c:v>
                </c:pt>
                <c:pt idx="83">
                  <c:v>40.494917620137926</c:v>
                </c:pt>
                <c:pt idx="84">
                  <c:v>40.316014602315022</c:v>
                </c:pt>
                <c:pt idx="85">
                  <c:v>40.261959799338698</c:v>
                </c:pt>
                <c:pt idx="86">
                  <c:v>40.228636760997716</c:v>
                </c:pt>
                <c:pt idx="87">
                  <c:v>40.2245864368507</c:v>
                </c:pt>
                <c:pt idx="88">
                  <c:v>40.059746651602971</c:v>
                </c:pt>
                <c:pt idx="89">
                  <c:v>40.049340918707131</c:v>
                </c:pt>
                <c:pt idx="90">
                  <c:v>40.024721956513297</c:v>
                </c:pt>
                <c:pt idx="91">
                  <c:v>40.019122075870648</c:v>
                </c:pt>
                <c:pt idx="92">
                  <c:v>39.929405123896451</c:v>
                </c:pt>
                <c:pt idx="93">
                  <c:v>39.90569670401463</c:v>
                </c:pt>
                <c:pt idx="94">
                  <c:v>39.791101312132852</c:v>
                </c:pt>
                <c:pt idx="95">
                  <c:v>39.516575460664953</c:v>
                </c:pt>
                <c:pt idx="96">
                  <c:v>39.439631113131483</c:v>
                </c:pt>
                <c:pt idx="97">
                  <c:v>39.325691951894008</c:v>
                </c:pt>
                <c:pt idx="98">
                  <c:v>39.118563601813015</c:v>
                </c:pt>
                <c:pt idx="99">
                  <c:v>38.638719510649267</c:v>
                </c:pt>
                <c:pt idx="100">
                  <c:v>38.630108680511462</c:v>
                </c:pt>
                <c:pt idx="101">
                  <c:v>38.394812063812203</c:v>
                </c:pt>
                <c:pt idx="102">
                  <c:v>38.3628987465653</c:v>
                </c:pt>
                <c:pt idx="103">
                  <c:v>38.068414422146176</c:v>
                </c:pt>
                <c:pt idx="104">
                  <c:v>37.952990573227282</c:v>
                </c:pt>
                <c:pt idx="105">
                  <c:v>37.732363470108744</c:v>
                </c:pt>
                <c:pt idx="106">
                  <c:v>37.509017826940791</c:v>
                </c:pt>
                <c:pt idx="107">
                  <c:v>37.46973725403538</c:v>
                </c:pt>
                <c:pt idx="108">
                  <c:v>37.453100605039921</c:v>
                </c:pt>
                <c:pt idx="109">
                  <c:v>37.427205700652614</c:v>
                </c:pt>
                <c:pt idx="110">
                  <c:v>37.211201331480709</c:v>
                </c:pt>
                <c:pt idx="111">
                  <c:v>37.045916891905186</c:v>
                </c:pt>
                <c:pt idx="112">
                  <c:v>37.021482772809236</c:v>
                </c:pt>
                <c:pt idx="113">
                  <c:v>36.926831273750267</c:v>
                </c:pt>
                <c:pt idx="114">
                  <c:v>36.846024101451967</c:v>
                </c:pt>
                <c:pt idx="115">
                  <c:v>36.543236690358441</c:v>
                </c:pt>
                <c:pt idx="116">
                  <c:v>36.453119831673582</c:v>
                </c:pt>
                <c:pt idx="117">
                  <c:v>36.333864620946606</c:v>
                </c:pt>
                <c:pt idx="118">
                  <c:v>36.266004978207143</c:v>
                </c:pt>
                <c:pt idx="119">
                  <c:v>36.21795110334407</c:v>
                </c:pt>
                <c:pt idx="120">
                  <c:v>36.20066382505312</c:v>
                </c:pt>
                <c:pt idx="121">
                  <c:v>36.047293018185343</c:v>
                </c:pt>
                <c:pt idx="122">
                  <c:v>35.958777739998958</c:v>
                </c:pt>
                <c:pt idx="123">
                  <c:v>35.857055150250403</c:v>
                </c:pt>
                <c:pt idx="124">
                  <c:v>35.76603220179576</c:v>
                </c:pt>
                <c:pt idx="125">
                  <c:v>35.742929936749789</c:v>
                </c:pt>
                <c:pt idx="126">
                  <c:v>35.732295481583442</c:v>
                </c:pt>
                <c:pt idx="127">
                  <c:v>35.660334361800018</c:v>
                </c:pt>
                <c:pt idx="128">
                  <c:v>35.643898516973763</c:v>
                </c:pt>
                <c:pt idx="129">
                  <c:v>35.607085743848643</c:v>
                </c:pt>
                <c:pt idx="130">
                  <c:v>35.475417093113741</c:v>
                </c:pt>
                <c:pt idx="131">
                  <c:v>35.182770056437377</c:v>
                </c:pt>
                <c:pt idx="132">
                  <c:v>35.164207406291013</c:v>
                </c:pt>
                <c:pt idx="133">
                  <c:v>35.010527220829758</c:v>
                </c:pt>
                <c:pt idx="134">
                  <c:v>34.957002682817659</c:v>
                </c:pt>
                <c:pt idx="135">
                  <c:v>34.885280552741776</c:v>
                </c:pt>
                <c:pt idx="136">
                  <c:v>34.858219073391432</c:v>
                </c:pt>
                <c:pt idx="137">
                  <c:v>34.810456015594383</c:v>
                </c:pt>
                <c:pt idx="138">
                  <c:v>34.700562456205532</c:v>
                </c:pt>
                <c:pt idx="139">
                  <c:v>34.688275200728917</c:v>
                </c:pt>
                <c:pt idx="140">
                  <c:v>34.633459685305397</c:v>
                </c:pt>
                <c:pt idx="141">
                  <c:v>34.5987967011542</c:v>
                </c:pt>
                <c:pt idx="142">
                  <c:v>34.41829402078713</c:v>
                </c:pt>
                <c:pt idx="143">
                  <c:v>34.35305311046789</c:v>
                </c:pt>
                <c:pt idx="144">
                  <c:v>34.223730890800034</c:v>
                </c:pt>
                <c:pt idx="145">
                  <c:v>34.107738506170186</c:v>
                </c:pt>
                <c:pt idx="146">
                  <c:v>34.087062099936198</c:v>
                </c:pt>
                <c:pt idx="147">
                  <c:v>33.944163540379222</c:v>
                </c:pt>
                <c:pt idx="148">
                  <c:v>33.896917254725466</c:v>
                </c:pt>
                <c:pt idx="149">
                  <c:v>33.896067489096524</c:v>
                </c:pt>
                <c:pt idx="150">
                  <c:v>33.700964320110309</c:v>
                </c:pt>
                <c:pt idx="151">
                  <c:v>33.528741914601738</c:v>
                </c:pt>
                <c:pt idx="152">
                  <c:v>33.223965274548149</c:v>
                </c:pt>
                <c:pt idx="153">
                  <c:v>33.192852389368269</c:v>
                </c:pt>
                <c:pt idx="154">
                  <c:v>33.092823942960095</c:v>
                </c:pt>
                <c:pt idx="155">
                  <c:v>32.92217053477826</c:v>
                </c:pt>
                <c:pt idx="156">
                  <c:v>32.920942591246032</c:v>
                </c:pt>
                <c:pt idx="157">
                  <c:v>32.51663987433809</c:v>
                </c:pt>
                <c:pt idx="158">
                  <c:v>32.368850394520436</c:v>
                </c:pt>
                <c:pt idx="159">
                  <c:v>32.174734391114136</c:v>
                </c:pt>
                <c:pt idx="160">
                  <c:v>32.170896346666581</c:v>
                </c:pt>
                <c:pt idx="161">
                  <c:v>32.135503581292348</c:v>
                </c:pt>
                <c:pt idx="162">
                  <c:v>32.111520477253073</c:v>
                </c:pt>
                <c:pt idx="163">
                  <c:v>31.98398147444324</c:v>
                </c:pt>
                <c:pt idx="164">
                  <c:v>31.834359275274565</c:v>
                </c:pt>
                <c:pt idx="165">
                  <c:v>31.831978727643559</c:v>
                </c:pt>
                <c:pt idx="166">
                  <c:v>31.49095029193159</c:v>
                </c:pt>
                <c:pt idx="167">
                  <c:v>31.48921123414268</c:v>
                </c:pt>
                <c:pt idx="168">
                  <c:v>31.418141782720113</c:v>
                </c:pt>
                <c:pt idx="169">
                  <c:v>31.280338898830095</c:v>
                </c:pt>
                <c:pt idx="170">
                  <c:v>31.18882139854302</c:v>
                </c:pt>
                <c:pt idx="171">
                  <c:v>30.743415361451746</c:v>
                </c:pt>
                <c:pt idx="172">
                  <c:v>30.562230961243579</c:v>
                </c:pt>
                <c:pt idx="173">
                  <c:v>30.556300290816161</c:v>
                </c:pt>
                <c:pt idx="174">
                  <c:v>30.42777532566263</c:v>
                </c:pt>
                <c:pt idx="175">
                  <c:v>30.404111991258752</c:v>
                </c:pt>
                <c:pt idx="176">
                  <c:v>30.340434768523274</c:v>
                </c:pt>
                <c:pt idx="177">
                  <c:v>30.144542925572267</c:v>
                </c:pt>
                <c:pt idx="178">
                  <c:v>30.074950295089728</c:v>
                </c:pt>
                <c:pt idx="179">
                  <c:v>30.034932499548589</c:v>
                </c:pt>
                <c:pt idx="180">
                  <c:v>29.937244036784008</c:v>
                </c:pt>
                <c:pt idx="181">
                  <c:v>29.855971067002834</c:v>
                </c:pt>
                <c:pt idx="182">
                  <c:v>29.655557032180575</c:v>
                </c:pt>
                <c:pt idx="183">
                  <c:v>29.528200335118257</c:v>
                </c:pt>
                <c:pt idx="184">
                  <c:v>29.439533666187572</c:v>
                </c:pt>
                <c:pt idx="185">
                  <c:v>29.100754381587997</c:v>
                </c:pt>
                <c:pt idx="186">
                  <c:v>28.944271976371759</c:v>
                </c:pt>
                <c:pt idx="187">
                  <c:v>28.575281537889239</c:v>
                </c:pt>
                <c:pt idx="188">
                  <c:v>28.510858176793583</c:v>
                </c:pt>
                <c:pt idx="189">
                  <c:v>28.362508738014519</c:v>
                </c:pt>
                <c:pt idx="190">
                  <c:v>28.341656410721377</c:v>
                </c:pt>
                <c:pt idx="191">
                  <c:v>28.103408096808408</c:v>
                </c:pt>
                <c:pt idx="192">
                  <c:v>28.047047463581706</c:v>
                </c:pt>
                <c:pt idx="193">
                  <c:v>28.039431682857725</c:v>
                </c:pt>
                <c:pt idx="194">
                  <c:v>27.900433263411735</c:v>
                </c:pt>
                <c:pt idx="195">
                  <c:v>27.732049662031493</c:v>
                </c:pt>
                <c:pt idx="196">
                  <c:v>27.721443003776223</c:v>
                </c:pt>
                <c:pt idx="197">
                  <c:v>27.713776486243518</c:v>
                </c:pt>
                <c:pt idx="198">
                  <c:v>27.613449838011135</c:v>
                </c:pt>
                <c:pt idx="199">
                  <c:v>27.571882850838911</c:v>
                </c:pt>
                <c:pt idx="200">
                  <c:v>27.472357428452206</c:v>
                </c:pt>
                <c:pt idx="201">
                  <c:v>27.384637041059243</c:v>
                </c:pt>
                <c:pt idx="202">
                  <c:v>27.354901860115447</c:v>
                </c:pt>
                <c:pt idx="203">
                  <c:v>27.115936265577538</c:v>
                </c:pt>
                <c:pt idx="204">
                  <c:v>26.991869948149493</c:v>
                </c:pt>
                <c:pt idx="205">
                  <c:v>26.905523214783514</c:v>
                </c:pt>
                <c:pt idx="206">
                  <c:v>26.904822561335791</c:v>
                </c:pt>
                <c:pt idx="207">
                  <c:v>26.845845559353236</c:v>
                </c:pt>
                <c:pt idx="208">
                  <c:v>26.842641141016308</c:v>
                </c:pt>
                <c:pt idx="209">
                  <c:v>26.795382920503435</c:v>
                </c:pt>
                <c:pt idx="210">
                  <c:v>26.611865350349881</c:v>
                </c:pt>
                <c:pt idx="211">
                  <c:v>26.550905794739471</c:v>
                </c:pt>
                <c:pt idx="212">
                  <c:v>26.432442946816799</c:v>
                </c:pt>
                <c:pt idx="213">
                  <c:v>26.330522641989717</c:v>
                </c:pt>
                <c:pt idx="214">
                  <c:v>26.11081457524314</c:v>
                </c:pt>
                <c:pt idx="215">
                  <c:v>26.105925901322308</c:v>
                </c:pt>
                <c:pt idx="216">
                  <c:v>25.563498183140005</c:v>
                </c:pt>
                <c:pt idx="217">
                  <c:v>25.366427451019476</c:v>
                </c:pt>
                <c:pt idx="218">
                  <c:v>25.20620296781189</c:v>
                </c:pt>
                <c:pt idx="219">
                  <c:v>24.93526321569297</c:v>
                </c:pt>
                <c:pt idx="220">
                  <c:v>24.804373541707953</c:v>
                </c:pt>
                <c:pt idx="221">
                  <c:v>24.798635851507143</c:v>
                </c:pt>
                <c:pt idx="222">
                  <c:v>24.539121569258533</c:v>
                </c:pt>
                <c:pt idx="223">
                  <c:v>24.293958565123305</c:v>
                </c:pt>
                <c:pt idx="224">
                  <c:v>24.247652208703144</c:v>
                </c:pt>
                <c:pt idx="225">
                  <c:v>23.910866848028327</c:v>
                </c:pt>
                <c:pt idx="226">
                  <c:v>23.714672305948632</c:v>
                </c:pt>
                <c:pt idx="227">
                  <c:v>23.46002647455812</c:v>
                </c:pt>
                <c:pt idx="228">
                  <c:v>23.332722906827826</c:v>
                </c:pt>
                <c:pt idx="229">
                  <c:v>23.293554058385261</c:v>
                </c:pt>
                <c:pt idx="230">
                  <c:v>23.167897073693972</c:v>
                </c:pt>
                <c:pt idx="231">
                  <c:v>23.137787963457484</c:v>
                </c:pt>
                <c:pt idx="232">
                  <c:v>23.047105360200547</c:v>
                </c:pt>
                <c:pt idx="233">
                  <c:v>23.037057276319779</c:v>
                </c:pt>
                <c:pt idx="234">
                  <c:v>23.00915547406732</c:v>
                </c:pt>
                <c:pt idx="235">
                  <c:v>22.917436954220733</c:v>
                </c:pt>
                <c:pt idx="236">
                  <c:v>22.818110680622148</c:v>
                </c:pt>
                <c:pt idx="237">
                  <c:v>22.7259319127309</c:v>
                </c:pt>
                <c:pt idx="238">
                  <c:v>22.537359868589206</c:v>
                </c:pt>
                <c:pt idx="239">
                  <c:v>22.301520086222254</c:v>
                </c:pt>
                <c:pt idx="240">
                  <c:v>22.284118708442428</c:v>
                </c:pt>
                <c:pt idx="241">
                  <c:v>21.853727909119563</c:v>
                </c:pt>
                <c:pt idx="242">
                  <c:v>21.744545302285104</c:v>
                </c:pt>
                <c:pt idx="243">
                  <c:v>21.503144839612439</c:v>
                </c:pt>
                <c:pt idx="244">
                  <c:v>21.493294718861563</c:v>
                </c:pt>
                <c:pt idx="245">
                  <c:v>21.471500402382866</c:v>
                </c:pt>
                <c:pt idx="246">
                  <c:v>21.341663290484121</c:v>
                </c:pt>
                <c:pt idx="247">
                  <c:v>21.156962400294297</c:v>
                </c:pt>
                <c:pt idx="248">
                  <c:v>21.073550792670744</c:v>
                </c:pt>
                <c:pt idx="249">
                  <c:v>21.014998428202887</c:v>
                </c:pt>
                <c:pt idx="250">
                  <c:v>20.981010721842573</c:v>
                </c:pt>
                <c:pt idx="251">
                  <c:v>20.866643839142746</c:v>
                </c:pt>
                <c:pt idx="252">
                  <c:v>20.701995730238558</c:v>
                </c:pt>
                <c:pt idx="253">
                  <c:v>20.633293830907611</c:v>
                </c:pt>
                <c:pt idx="254">
                  <c:v>20.363804789569201</c:v>
                </c:pt>
                <c:pt idx="255">
                  <c:v>20.274375840780642</c:v>
                </c:pt>
                <c:pt idx="256">
                  <c:v>20.257184413181811</c:v>
                </c:pt>
                <c:pt idx="257">
                  <c:v>20.246399209257554</c:v>
                </c:pt>
                <c:pt idx="258">
                  <c:v>20.156467077989255</c:v>
                </c:pt>
                <c:pt idx="259">
                  <c:v>19.953510961989622</c:v>
                </c:pt>
                <c:pt idx="260">
                  <c:v>19.493783311613321</c:v>
                </c:pt>
                <c:pt idx="261">
                  <c:v>19.33681998075641</c:v>
                </c:pt>
                <c:pt idx="262">
                  <c:v>19.314454539947782</c:v>
                </c:pt>
                <c:pt idx="263">
                  <c:v>19.049972491859364</c:v>
                </c:pt>
                <c:pt idx="264">
                  <c:v>18.951789349175115</c:v>
                </c:pt>
                <c:pt idx="265">
                  <c:v>18.898661042945214</c:v>
                </c:pt>
                <c:pt idx="266">
                  <c:v>18.774197804647883</c:v>
                </c:pt>
                <c:pt idx="267">
                  <c:v>18.491349674858398</c:v>
                </c:pt>
                <c:pt idx="268">
                  <c:v>18.410998576275055</c:v>
                </c:pt>
                <c:pt idx="269">
                  <c:v>18.382108713637543</c:v>
                </c:pt>
                <c:pt idx="270">
                  <c:v>18.21844844320831</c:v>
                </c:pt>
                <c:pt idx="271">
                  <c:v>18.174882537212497</c:v>
                </c:pt>
                <c:pt idx="272">
                  <c:v>17.985373534302369</c:v>
                </c:pt>
                <c:pt idx="273">
                  <c:v>17.958774741838752</c:v>
                </c:pt>
                <c:pt idx="274">
                  <c:v>17.799851306730048</c:v>
                </c:pt>
                <c:pt idx="275">
                  <c:v>17.685719689881722</c:v>
                </c:pt>
                <c:pt idx="276">
                  <c:v>17.658624434147001</c:v>
                </c:pt>
                <c:pt idx="277">
                  <c:v>17.48174211047246</c:v>
                </c:pt>
                <c:pt idx="278">
                  <c:v>17.421746214106356</c:v>
                </c:pt>
                <c:pt idx="279">
                  <c:v>17.291714897923242</c:v>
                </c:pt>
                <c:pt idx="280">
                  <c:v>17.216650073209479</c:v>
                </c:pt>
                <c:pt idx="281">
                  <c:v>17.1928282003948</c:v>
                </c:pt>
                <c:pt idx="282">
                  <c:v>17.1706091227081</c:v>
                </c:pt>
                <c:pt idx="283">
                  <c:v>17.128851073305412</c:v>
                </c:pt>
                <c:pt idx="284">
                  <c:v>17.114765360118987</c:v>
                </c:pt>
                <c:pt idx="285">
                  <c:v>17.088808916061936</c:v>
                </c:pt>
                <c:pt idx="286">
                  <c:v>17.034490012967595</c:v>
                </c:pt>
                <c:pt idx="287">
                  <c:v>17.011822664762583</c:v>
                </c:pt>
                <c:pt idx="288">
                  <c:v>16.881547294492002</c:v>
                </c:pt>
                <c:pt idx="289">
                  <c:v>16.852228599062528</c:v>
                </c:pt>
                <c:pt idx="290">
                  <c:v>16.838693157065094</c:v>
                </c:pt>
                <c:pt idx="291">
                  <c:v>16.836747082235235</c:v>
                </c:pt>
                <c:pt idx="292">
                  <c:v>16.777609154560253</c:v>
                </c:pt>
                <c:pt idx="293">
                  <c:v>16.628026336918126</c:v>
                </c:pt>
                <c:pt idx="294">
                  <c:v>16.57403789373712</c:v>
                </c:pt>
                <c:pt idx="295">
                  <c:v>16.326484197335638</c:v>
                </c:pt>
                <c:pt idx="296">
                  <c:v>16.277571867101578</c:v>
                </c:pt>
                <c:pt idx="297">
                  <c:v>16.042576698150732</c:v>
                </c:pt>
                <c:pt idx="298">
                  <c:v>15.889037166416955</c:v>
                </c:pt>
                <c:pt idx="299">
                  <c:v>15.83811103307066</c:v>
                </c:pt>
                <c:pt idx="300">
                  <c:v>15.812383702951934</c:v>
                </c:pt>
                <c:pt idx="301">
                  <c:v>15.753450387157372</c:v>
                </c:pt>
                <c:pt idx="302">
                  <c:v>15.572418234274153</c:v>
                </c:pt>
                <c:pt idx="303">
                  <c:v>15.569065935212564</c:v>
                </c:pt>
                <c:pt idx="304">
                  <c:v>15.501965003563882</c:v>
                </c:pt>
                <c:pt idx="305">
                  <c:v>15.375701351772975</c:v>
                </c:pt>
                <c:pt idx="306">
                  <c:v>15.252696356770215</c:v>
                </c:pt>
                <c:pt idx="307">
                  <c:v>15.241686471513773</c:v>
                </c:pt>
                <c:pt idx="308">
                  <c:v>15.106950169399937</c:v>
                </c:pt>
                <c:pt idx="309">
                  <c:v>14.9137097497713</c:v>
                </c:pt>
                <c:pt idx="310">
                  <c:v>14.87880462299087</c:v>
                </c:pt>
                <c:pt idx="311">
                  <c:v>14.768640865915629</c:v>
                </c:pt>
                <c:pt idx="312">
                  <c:v>14.745569264915559</c:v>
                </c:pt>
                <c:pt idx="313">
                  <c:v>14.512564539310929</c:v>
                </c:pt>
                <c:pt idx="314">
                  <c:v>14.128981792387634</c:v>
                </c:pt>
                <c:pt idx="315">
                  <c:v>13.807171479723891</c:v>
                </c:pt>
                <c:pt idx="316">
                  <c:v>13.691105014383041</c:v>
                </c:pt>
                <c:pt idx="317">
                  <c:v>13.428118279680348</c:v>
                </c:pt>
                <c:pt idx="318">
                  <c:v>13.168324982023293</c:v>
                </c:pt>
                <c:pt idx="319">
                  <c:v>13.130124921634547</c:v>
                </c:pt>
                <c:pt idx="320">
                  <c:v>12.813403019223671</c:v>
                </c:pt>
                <c:pt idx="321">
                  <c:v>12.649088318888531</c:v>
                </c:pt>
                <c:pt idx="322">
                  <c:v>12.476501597342093</c:v>
                </c:pt>
                <c:pt idx="323">
                  <c:v>12.447704132416206</c:v>
                </c:pt>
                <c:pt idx="324">
                  <c:v>12.438214406069648</c:v>
                </c:pt>
                <c:pt idx="325">
                  <c:v>12.430816315536831</c:v>
                </c:pt>
                <c:pt idx="326">
                  <c:v>12.399623667614165</c:v>
                </c:pt>
                <c:pt idx="327">
                  <c:v>12.378110649602192</c:v>
                </c:pt>
                <c:pt idx="328">
                  <c:v>12.365522313038511</c:v>
                </c:pt>
                <c:pt idx="329">
                  <c:v>12.084542672608279</c:v>
                </c:pt>
                <c:pt idx="330">
                  <c:v>11.90601543619772</c:v>
                </c:pt>
                <c:pt idx="331">
                  <c:v>11.766053646372612</c:v>
                </c:pt>
                <c:pt idx="332">
                  <c:v>11.742558152574404</c:v>
                </c:pt>
                <c:pt idx="333">
                  <c:v>11.720026718171184</c:v>
                </c:pt>
                <c:pt idx="334">
                  <c:v>11.635303852082032</c:v>
                </c:pt>
                <c:pt idx="335">
                  <c:v>11.494714967120856</c:v>
                </c:pt>
                <c:pt idx="336">
                  <c:v>11.327627081529087</c:v>
                </c:pt>
                <c:pt idx="337">
                  <c:v>11.323182537399234</c:v>
                </c:pt>
                <c:pt idx="338">
                  <c:v>11.307245257063187</c:v>
                </c:pt>
                <c:pt idx="339">
                  <c:v>11.28127001594639</c:v>
                </c:pt>
                <c:pt idx="340">
                  <c:v>11.252028747633375</c:v>
                </c:pt>
                <c:pt idx="341">
                  <c:v>11.15121676084118</c:v>
                </c:pt>
                <c:pt idx="342">
                  <c:v>11.134990419092617</c:v>
                </c:pt>
                <c:pt idx="343">
                  <c:v>11.055414521868641</c:v>
                </c:pt>
                <c:pt idx="344">
                  <c:v>10.964295401318125</c:v>
                </c:pt>
                <c:pt idx="345">
                  <c:v>10.851986591261067</c:v>
                </c:pt>
                <c:pt idx="346">
                  <c:v>10.836316102791343</c:v>
                </c:pt>
                <c:pt idx="347">
                  <c:v>10.628244440796351</c:v>
                </c:pt>
                <c:pt idx="348">
                  <c:v>10.553954354785191</c:v>
                </c:pt>
                <c:pt idx="349">
                  <c:v>10.261381803239331</c:v>
                </c:pt>
                <c:pt idx="350">
                  <c:v>10.165631542264407</c:v>
                </c:pt>
                <c:pt idx="351">
                  <c:v>10.109567390288206</c:v>
                </c:pt>
                <c:pt idx="352">
                  <c:v>10.082501553466543</c:v>
                </c:pt>
                <c:pt idx="353">
                  <c:v>9.9233395488318763</c:v>
                </c:pt>
                <c:pt idx="354">
                  <c:v>9.8787872284498235</c:v>
                </c:pt>
                <c:pt idx="355">
                  <c:v>9.731358900954092</c:v>
                </c:pt>
                <c:pt idx="356">
                  <c:v>9.7144893417955416</c:v>
                </c:pt>
                <c:pt idx="357">
                  <c:v>9.6840559545916136</c:v>
                </c:pt>
                <c:pt idx="358">
                  <c:v>9.3872437406647293</c:v>
                </c:pt>
                <c:pt idx="359">
                  <c:v>9.3528265575516372</c:v>
                </c:pt>
                <c:pt idx="360">
                  <c:v>9.125944525997042</c:v>
                </c:pt>
                <c:pt idx="361">
                  <c:v>8.9152057663539068</c:v>
                </c:pt>
                <c:pt idx="362">
                  <c:v>8.7214065541592873</c:v>
                </c:pt>
                <c:pt idx="363">
                  <c:v>8.6094258685211145</c:v>
                </c:pt>
                <c:pt idx="364">
                  <c:v>8.5559573776054805</c:v>
                </c:pt>
                <c:pt idx="365">
                  <c:v>8.4626970676048359</c:v>
                </c:pt>
                <c:pt idx="366">
                  <c:v>8.3224482502713357</c:v>
                </c:pt>
                <c:pt idx="367">
                  <c:v>8.1020687493726342</c:v>
                </c:pt>
                <c:pt idx="368">
                  <c:v>8.0912971028523799</c:v>
                </c:pt>
                <c:pt idx="369">
                  <c:v>7.7514897222174142</c:v>
                </c:pt>
                <c:pt idx="370">
                  <c:v>7.5618437732696009</c:v>
                </c:pt>
                <c:pt idx="371">
                  <c:v>7.3522038852434264</c:v>
                </c:pt>
                <c:pt idx="372">
                  <c:v>7.2213708580547973</c:v>
                </c:pt>
                <c:pt idx="373">
                  <c:v>7.1449505113296965</c:v>
                </c:pt>
                <c:pt idx="374">
                  <c:v>6.9643751651801722</c:v>
                </c:pt>
                <c:pt idx="375">
                  <c:v>6.702244214080963</c:v>
                </c:pt>
                <c:pt idx="376">
                  <c:v>6.5557638619635412</c:v>
                </c:pt>
                <c:pt idx="377">
                  <c:v>6.3754150873569699</c:v>
                </c:pt>
                <c:pt idx="378">
                  <c:v>6.3490859181758452</c:v>
                </c:pt>
                <c:pt idx="379">
                  <c:v>6.2648176796944455</c:v>
                </c:pt>
                <c:pt idx="380">
                  <c:v>6.2492894632746641</c:v>
                </c:pt>
                <c:pt idx="381">
                  <c:v>6.1957140383842244</c:v>
                </c:pt>
                <c:pt idx="382">
                  <c:v>6.0676487808560893</c:v>
                </c:pt>
                <c:pt idx="383">
                  <c:v>6.0488873766900042</c:v>
                </c:pt>
                <c:pt idx="384">
                  <c:v>5.9050190771560835</c:v>
                </c:pt>
                <c:pt idx="385">
                  <c:v>5.8673969523589165</c:v>
                </c:pt>
                <c:pt idx="386">
                  <c:v>5.4862555754689311</c:v>
                </c:pt>
                <c:pt idx="387">
                  <c:v>5.4466838854517761</c:v>
                </c:pt>
                <c:pt idx="388">
                  <c:v>5.0016811983074234</c:v>
                </c:pt>
                <c:pt idx="389">
                  <c:v>4.9380592612068313</c:v>
                </c:pt>
                <c:pt idx="390">
                  <c:v>4.6276575902502657</c:v>
                </c:pt>
                <c:pt idx="391">
                  <c:v>4.5320688504968842</c:v>
                </c:pt>
                <c:pt idx="392">
                  <c:v>4.3494828855967</c:v>
                </c:pt>
                <c:pt idx="393">
                  <c:v>4.2884563320227329</c:v>
                </c:pt>
                <c:pt idx="394">
                  <c:v>4.1886039088415714</c:v>
                </c:pt>
                <c:pt idx="395">
                  <c:v>4.0917955811574274</c:v>
                </c:pt>
                <c:pt idx="396">
                  <c:v>3.7483356233247633</c:v>
                </c:pt>
                <c:pt idx="397">
                  <c:v>3.7318721228858607</c:v>
                </c:pt>
                <c:pt idx="398">
                  <c:v>3.7006175278305875</c:v>
                </c:pt>
                <c:pt idx="399">
                  <c:v>3.6590865042407472</c:v>
                </c:pt>
                <c:pt idx="400">
                  <c:v>3.6284488684500644</c:v>
                </c:pt>
                <c:pt idx="401">
                  <c:v>3.4347927677911656</c:v>
                </c:pt>
                <c:pt idx="402">
                  <c:v>3.1718016710228341</c:v>
                </c:pt>
                <c:pt idx="403">
                  <c:v>3.1409802566476515</c:v>
                </c:pt>
                <c:pt idx="404">
                  <c:v>3.0866587574917617</c:v>
                </c:pt>
                <c:pt idx="405">
                  <c:v>3.0286462001505043</c:v>
                </c:pt>
                <c:pt idx="406">
                  <c:v>2.7161319342394421</c:v>
                </c:pt>
                <c:pt idx="407">
                  <c:v>2.4533991435050666</c:v>
                </c:pt>
                <c:pt idx="408">
                  <c:v>2.341741090350169</c:v>
                </c:pt>
                <c:pt idx="409">
                  <c:v>2.2875973947621304</c:v>
                </c:pt>
                <c:pt idx="410">
                  <c:v>1.9460632957588047</c:v>
                </c:pt>
                <c:pt idx="411">
                  <c:v>1.8251617870108703</c:v>
                </c:pt>
                <c:pt idx="412">
                  <c:v>1.7535921661907992</c:v>
                </c:pt>
                <c:pt idx="413">
                  <c:v>1.5229905456154142</c:v>
                </c:pt>
                <c:pt idx="414">
                  <c:v>1.4195676910318298</c:v>
                </c:pt>
                <c:pt idx="415">
                  <c:v>1.2431083225700235</c:v>
                </c:pt>
                <c:pt idx="416">
                  <c:v>0.86957696603752765</c:v>
                </c:pt>
                <c:pt idx="417">
                  <c:v>0.86431450888355243</c:v>
                </c:pt>
                <c:pt idx="418">
                  <c:v>0.61152411910144622</c:v>
                </c:pt>
                <c:pt idx="419">
                  <c:v>0.54562595896234711</c:v>
                </c:pt>
                <c:pt idx="420">
                  <c:v>0.36729466033125391</c:v>
                </c:pt>
                <c:pt idx="421">
                  <c:v>0.33252738508375046</c:v>
                </c:pt>
                <c:pt idx="422">
                  <c:v>0.3035529257328875</c:v>
                </c:pt>
                <c:pt idx="423">
                  <c:v>3.2397547293868456E-2</c:v>
                </c:pt>
                <c:pt idx="424">
                  <c:v>3.0449743068530211E-2</c:v>
                </c:pt>
                <c:pt idx="425">
                  <c:v>1.3080432213001814E-2</c:v>
                </c:pt>
                <c:pt idx="426">
                  <c:v>2.2921991835147537E-3</c:v>
                </c:pt>
                <c:pt idx="427">
                  <c:v>-7.6983397036926249E-2</c:v>
                </c:pt>
                <c:pt idx="428">
                  <c:v>-0.12324439795983722</c:v>
                </c:pt>
                <c:pt idx="429">
                  <c:v>-0.19260923001441199</c:v>
                </c:pt>
                <c:pt idx="430">
                  <c:v>-0.21417360518866246</c:v>
                </c:pt>
                <c:pt idx="431">
                  <c:v>-0.23972933587069178</c:v>
                </c:pt>
                <c:pt idx="432">
                  <c:v>-0.31014194732547651</c:v>
                </c:pt>
                <c:pt idx="433">
                  <c:v>-0.36115657389912315</c:v>
                </c:pt>
                <c:pt idx="434">
                  <c:v>-0.46690737129455329</c:v>
                </c:pt>
                <c:pt idx="435">
                  <c:v>-0.48261312082065899</c:v>
                </c:pt>
                <c:pt idx="436">
                  <c:v>-0.56993446004018722</c:v>
                </c:pt>
                <c:pt idx="437">
                  <c:v>-0.66052416301319283</c:v>
                </c:pt>
                <c:pt idx="438">
                  <c:v>-0.83707477638124317</c:v>
                </c:pt>
                <c:pt idx="439">
                  <c:v>-1.0082603923698628</c:v>
                </c:pt>
                <c:pt idx="440">
                  <c:v>-1.0494579957594112</c:v>
                </c:pt>
                <c:pt idx="441">
                  <c:v>-1.0652849842632008</c:v>
                </c:pt>
                <c:pt idx="442">
                  <c:v>-1.1014010696635808</c:v>
                </c:pt>
                <c:pt idx="443">
                  <c:v>-1.2885987184551908</c:v>
                </c:pt>
                <c:pt idx="444">
                  <c:v>-1.322628697497592</c:v>
                </c:pt>
                <c:pt idx="445">
                  <c:v>-1.5010145463172506</c:v>
                </c:pt>
                <c:pt idx="446">
                  <c:v>-1.5285929743776165</c:v>
                </c:pt>
                <c:pt idx="447">
                  <c:v>-1.5643420133811077</c:v>
                </c:pt>
                <c:pt idx="448">
                  <c:v>-1.5676851778970189</c:v>
                </c:pt>
                <c:pt idx="449">
                  <c:v>-1.6024700300728654</c:v>
                </c:pt>
                <c:pt idx="450">
                  <c:v>-1.6948372753426639</c:v>
                </c:pt>
                <c:pt idx="451">
                  <c:v>-1.7656209417102104</c:v>
                </c:pt>
                <c:pt idx="452">
                  <c:v>-2.2005011443888662</c:v>
                </c:pt>
                <c:pt idx="453">
                  <c:v>-2.2928336690470417</c:v>
                </c:pt>
                <c:pt idx="454">
                  <c:v>-2.3203636688054416</c:v>
                </c:pt>
                <c:pt idx="455">
                  <c:v>-2.4067841794890512</c:v>
                </c:pt>
                <c:pt idx="456">
                  <c:v>-2.4143610965431037</c:v>
                </c:pt>
                <c:pt idx="457">
                  <c:v>-2.4288684790195703</c:v>
                </c:pt>
                <c:pt idx="458">
                  <c:v>-2.7723053002492435</c:v>
                </c:pt>
                <c:pt idx="459">
                  <c:v>-2.7957997306836688</c:v>
                </c:pt>
                <c:pt idx="460">
                  <c:v>-2.8274444538773906</c:v>
                </c:pt>
                <c:pt idx="461">
                  <c:v>-3.1121049574000068</c:v>
                </c:pt>
                <c:pt idx="462">
                  <c:v>-3.1145614190141373</c:v>
                </c:pt>
                <c:pt idx="463">
                  <c:v>-3.223797779774884</c:v>
                </c:pt>
                <c:pt idx="464">
                  <c:v>-3.8030139110061327</c:v>
                </c:pt>
                <c:pt idx="465">
                  <c:v>-3.9010264577033382</c:v>
                </c:pt>
                <c:pt idx="466">
                  <c:v>-3.9130716664282659</c:v>
                </c:pt>
                <c:pt idx="467">
                  <c:v>-3.9818931853203452</c:v>
                </c:pt>
                <c:pt idx="468">
                  <c:v>-4.0087411820283734</c:v>
                </c:pt>
                <c:pt idx="469">
                  <c:v>-4.1222051796445953</c:v>
                </c:pt>
                <c:pt idx="470">
                  <c:v>-4.1532052597199822</c:v>
                </c:pt>
                <c:pt idx="471">
                  <c:v>-4.1660524805255363</c:v>
                </c:pt>
                <c:pt idx="472">
                  <c:v>-4.4633892413788629</c:v>
                </c:pt>
                <c:pt idx="473">
                  <c:v>-4.604222032633686</c:v>
                </c:pt>
                <c:pt idx="474">
                  <c:v>-4.7423903016495785</c:v>
                </c:pt>
                <c:pt idx="475">
                  <c:v>-4.8653625849647142</c:v>
                </c:pt>
                <c:pt idx="476">
                  <c:v>-4.9183264278943852</c:v>
                </c:pt>
                <c:pt idx="477">
                  <c:v>-5.169470960704956</c:v>
                </c:pt>
                <c:pt idx="478">
                  <c:v>-5.198459531183417</c:v>
                </c:pt>
                <c:pt idx="479">
                  <c:v>-5.2540077433219352</c:v>
                </c:pt>
                <c:pt idx="480">
                  <c:v>-5.305600844268767</c:v>
                </c:pt>
                <c:pt idx="481">
                  <c:v>-5.4004375469867796</c:v>
                </c:pt>
                <c:pt idx="482">
                  <c:v>-5.6509096543439625</c:v>
                </c:pt>
                <c:pt idx="483">
                  <c:v>-5.7074268660551581</c:v>
                </c:pt>
                <c:pt idx="484">
                  <c:v>-6.0853997216828049</c:v>
                </c:pt>
                <c:pt idx="485">
                  <c:v>-6.3175964282471995</c:v>
                </c:pt>
                <c:pt idx="486">
                  <c:v>-6.3864723942920421</c:v>
                </c:pt>
                <c:pt idx="487">
                  <c:v>-6.7297799288766669</c:v>
                </c:pt>
                <c:pt idx="488">
                  <c:v>-6.7572835405525211</c:v>
                </c:pt>
                <c:pt idx="489">
                  <c:v>-6.8291424376508445</c:v>
                </c:pt>
                <c:pt idx="490">
                  <c:v>-7.1908470698671891</c:v>
                </c:pt>
                <c:pt idx="491">
                  <c:v>-7.2304129611805337</c:v>
                </c:pt>
                <c:pt idx="492">
                  <c:v>-7.3042357845310448</c:v>
                </c:pt>
                <c:pt idx="493">
                  <c:v>-7.3534724523106263</c:v>
                </c:pt>
                <c:pt idx="494">
                  <c:v>-7.6916418799285253</c:v>
                </c:pt>
                <c:pt idx="495">
                  <c:v>-7.7015201974235481</c:v>
                </c:pt>
                <c:pt idx="496">
                  <c:v>-7.7300446332042867</c:v>
                </c:pt>
                <c:pt idx="497">
                  <c:v>-7.8843509814420543</c:v>
                </c:pt>
                <c:pt idx="498">
                  <c:v>-8.0059804450487917</c:v>
                </c:pt>
                <c:pt idx="499">
                  <c:v>-8.0369079200926024</c:v>
                </c:pt>
                <c:pt idx="500">
                  <c:v>-8.0577255756212907</c:v>
                </c:pt>
                <c:pt idx="501">
                  <c:v>-8.0939544414944748</c:v>
                </c:pt>
                <c:pt idx="502">
                  <c:v>-8.5511328428652718</c:v>
                </c:pt>
                <c:pt idx="503">
                  <c:v>-8.5698046702942889</c:v>
                </c:pt>
                <c:pt idx="504">
                  <c:v>-8.6529314417911678</c:v>
                </c:pt>
                <c:pt idx="505">
                  <c:v>-8.6572213412428027</c:v>
                </c:pt>
                <c:pt idx="506">
                  <c:v>-9.0489056368427754</c:v>
                </c:pt>
                <c:pt idx="507">
                  <c:v>-9.0859668001359069</c:v>
                </c:pt>
                <c:pt idx="508">
                  <c:v>-9.1244530152116141</c:v>
                </c:pt>
                <c:pt idx="509">
                  <c:v>-9.3350909309505141</c:v>
                </c:pt>
                <c:pt idx="510">
                  <c:v>-9.551271713607818</c:v>
                </c:pt>
                <c:pt idx="511">
                  <c:v>-9.6738555200025758</c:v>
                </c:pt>
                <c:pt idx="512">
                  <c:v>-9.6984078024756002</c:v>
                </c:pt>
                <c:pt idx="513">
                  <c:v>-9.761791006532107</c:v>
                </c:pt>
                <c:pt idx="514">
                  <c:v>-9.7755944412517266</c:v>
                </c:pt>
                <c:pt idx="515">
                  <c:v>-9.9496903846525271</c:v>
                </c:pt>
                <c:pt idx="516">
                  <c:v>-10.059814474547451</c:v>
                </c:pt>
                <c:pt idx="517">
                  <c:v>-10.092678954244803</c:v>
                </c:pt>
                <c:pt idx="518">
                  <c:v>-10.301037295356338</c:v>
                </c:pt>
                <c:pt idx="519">
                  <c:v>-10.407163771374059</c:v>
                </c:pt>
                <c:pt idx="520">
                  <c:v>-10.441769316261059</c:v>
                </c:pt>
                <c:pt idx="521">
                  <c:v>-10.64289974174639</c:v>
                </c:pt>
                <c:pt idx="522">
                  <c:v>-10.64899544297748</c:v>
                </c:pt>
                <c:pt idx="523">
                  <c:v>-10.760763072800771</c:v>
                </c:pt>
                <c:pt idx="524">
                  <c:v>-10.870633720043514</c:v>
                </c:pt>
                <c:pt idx="525">
                  <c:v>-10.91040682677189</c:v>
                </c:pt>
                <c:pt idx="526">
                  <c:v>-11.348406202103149</c:v>
                </c:pt>
                <c:pt idx="527">
                  <c:v>-11.584839299983017</c:v>
                </c:pt>
                <c:pt idx="528">
                  <c:v>-11.59664375074577</c:v>
                </c:pt>
                <c:pt idx="529">
                  <c:v>-11.705243227413433</c:v>
                </c:pt>
                <c:pt idx="530">
                  <c:v>-12.177036885674895</c:v>
                </c:pt>
                <c:pt idx="531">
                  <c:v>-12.195809570991145</c:v>
                </c:pt>
                <c:pt idx="532">
                  <c:v>-12.356766871822572</c:v>
                </c:pt>
                <c:pt idx="533">
                  <c:v>-12.470590614438265</c:v>
                </c:pt>
                <c:pt idx="534">
                  <c:v>-12.665519578773996</c:v>
                </c:pt>
                <c:pt idx="535">
                  <c:v>-12.749405817383064</c:v>
                </c:pt>
                <c:pt idx="536">
                  <c:v>-12.754318059362134</c:v>
                </c:pt>
                <c:pt idx="537">
                  <c:v>-12.904218816886825</c:v>
                </c:pt>
                <c:pt idx="538">
                  <c:v>-12.931792953656185</c:v>
                </c:pt>
                <c:pt idx="539">
                  <c:v>-12.971491944691437</c:v>
                </c:pt>
                <c:pt idx="540">
                  <c:v>-12.986169192317035</c:v>
                </c:pt>
                <c:pt idx="541">
                  <c:v>-13.011658946272632</c:v>
                </c:pt>
                <c:pt idx="542">
                  <c:v>-13.118972662006698</c:v>
                </c:pt>
                <c:pt idx="543">
                  <c:v>-13.4491943313284</c:v>
                </c:pt>
                <c:pt idx="544">
                  <c:v>-13.568558490893224</c:v>
                </c:pt>
                <c:pt idx="545">
                  <c:v>-13.761075001606116</c:v>
                </c:pt>
                <c:pt idx="546">
                  <c:v>-13.812957703790644</c:v>
                </c:pt>
                <c:pt idx="547">
                  <c:v>-14.182296294519858</c:v>
                </c:pt>
                <c:pt idx="548">
                  <c:v>-14.241822884687878</c:v>
                </c:pt>
                <c:pt idx="549">
                  <c:v>-14.370788433703851</c:v>
                </c:pt>
                <c:pt idx="550">
                  <c:v>-14.373593955071684</c:v>
                </c:pt>
                <c:pt idx="551">
                  <c:v>-14.665619515186549</c:v>
                </c:pt>
                <c:pt idx="552">
                  <c:v>-14.725576309308693</c:v>
                </c:pt>
                <c:pt idx="553">
                  <c:v>-14.750972043281607</c:v>
                </c:pt>
                <c:pt idx="554">
                  <c:v>-14.868836730841139</c:v>
                </c:pt>
                <c:pt idx="555">
                  <c:v>-15.077933218281743</c:v>
                </c:pt>
                <c:pt idx="556">
                  <c:v>-15.084619544696551</c:v>
                </c:pt>
                <c:pt idx="557">
                  <c:v>-15.189135441694845</c:v>
                </c:pt>
                <c:pt idx="558">
                  <c:v>-15.384321841985937</c:v>
                </c:pt>
                <c:pt idx="559">
                  <c:v>-15.389923447967647</c:v>
                </c:pt>
                <c:pt idx="560">
                  <c:v>-15.497255554371378</c:v>
                </c:pt>
                <c:pt idx="561">
                  <c:v>-15.634217968208731</c:v>
                </c:pt>
                <c:pt idx="562">
                  <c:v>-15.673925829385382</c:v>
                </c:pt>
                <c:pt idx="563">
                  <c:v>-15.994122711749526</c:v>
                </c:pt>
                <c:pt idx="564">
                  <c:v>-16.352105552603476</c:v>
                </c:pt>
                <c:pt idx="565">
                  <c:v>-16.398950925685583</c:v>
                </c:pt>
                <c:pt idx="566">
                  <c:v>-16.426524796961857</c:v>
                </c:pt>
                <c:pt idx="567">
                  <c:v>-16.554381174218733</c:v>
                </c:pt>
                <c:pt idx="568">
                  <c:v>-16.584600561735925</c:v>
                </c:pt>
                <c:pt idx="569">
                  <c:v>-16.659314020308955</c:v>
                </c:pt>
                <c:pt idx="570">
                  <c:v>-16.707095199038775</c:v>
                </c:pt>
                <c:pt idx="571">
                  <c:v>-16.788543314465528</c:v>
                </c:pt>
                <c:pt idx="572">
                  <c:v>-16.913280116967798</c:v>
                </c:pt>
                <c:pt idx="573">
                  <c:v>-16.915417345550665</c:v>
                </c:pt>
                <c:pt idx="574">
                  <c:v>-17.181525173686978</c:v>
                </c:pt>
                <c:pt idx="575">
                  <c:v>-17.289252513369007</c:v>
                </c:pt>
                <c:pt idx="576">
                  <c:v>-17.3821900166582</c:v>
                </c:pt>
                <c:pt idx="577">
                  <c:v>-17.39299313903598</c:v>
                </c:pt>
                <c:pt idx="578">
                  <c:v>-17.613383562138637</c:v>
                </c:pt>
                <c:pt idx="579">
                  <c:v>-17.684625758442621</c:v>
                </c:pt>
                <c:pt idx="580">
                  <c:v>-17.745169633149928</c:v>
                </c:pt>
                <c:pt idx="581">
                  <c:v>-17.784241644108079</c:v>
                </c:pt>
                <c:pt idx="582">
                  <c:v>-17.788441249765853</c:v>
                </c:pt>
                <c:pt idx="583">
                  <c:v>-18.071897443383577</c:v>
                </c:pt>
                <c:pt idx="584">
                  <c:v>-18.443057977526365</c:v>
                </c:pt>
                <c:pt idx="585">
                  <c:v>-18.584585221037358</c:v>
                </c:pt>
                <c:pt idx="586">
                  <c:v>-18.640668843039379</c:v>
                </c:pt>
                <c:pt idx="587">
                  <c:v>-18.883075425911755</c:v>
                </c:pt>
                <c:pt idx="588">
                  <c:v>-18.910222341157308</c:v>
                </c:pt>
                <c:pt idx="589">
                  <c:v>-19.061305983274224</c:v>
                </c:pt>
                <c:pt idx="590">
                  <c:v>-19.408351669164617</c:v>
                </c:pt>
                <c:pt idx="591">
                  <c:v>-19.551820806957991</c:v>
                </c:pt>
                <c:pt idx="592">
                  <c:v>-19.874777144178182</c:v>
                </c:pt>
                <c:pt idx="593">
                  <c:v>-19.880944107348341</c:v>
                </c:pt>
                <c:pt idx="594">
                  <c:v>-19.990322272117496</c:v>
                </c:pt>
                <c:pt idx="595">
                  <c:v>-20.174985725244767</c:v>
                </c:pt>
                <c:pt idx="596">
                  <c:v>-20.241247609449388</c:v>
                </c:pt>
                <c:pt idx="597">
                  <c:v>-20.419899956615978</c:v>
                </c:pt>
                <c:pt idx="598">
                  <c:v>-20.510048732760083</c:v>
                </c:pt>
                <c:pt idx="599">
                  <c:v>-20.738355248989421</c:v>
                </c:pt>
                <c:pt idx="600">
                  <c:v>-20.745800880141616</c:v>
                </c:pt>
                <c:pt idx="601">
                  <c:v>-20.814492269906196</c:v>
                </c:pt>
                <c:pt idx="602">
                  <c:v>-21.580294022508326</c:v>
                </c:pt>
                <c:pt idx="603">
                  <c:v>-21.615381272647042</c:v>
                </c:pt>
                <c:pt idx="604">
                  <c:v>-21.767156009859477</c:v>
                </c:pt>
                <c:pt idx="605">
                  <c:v>-21.920734108057047</c:v>
                </c:pt>
                <c:pt idx="606">
                  <c:v>-22.09265097602605</c:v>
                </c:pt>
                <c:pt idx="607">
                  <c:v>-22.127408204430466</c:v>
                </c:pt>
                <c:pt idx="608">
                  <c:v>-22.316756643169725</c:v>
                </c:pt>
                <c:pt idx="609">
                  <c:v>-22.333390917847524</c:v>
                </c:pt>
                <c:pt idx="610">
                  <c:v>-22.475425256441</c:v>
                </c:pt>
                <c:pt idx="611">
                  <c:v>-22.485160807257643</c:v>
                </c:pt>
                <c:pt idx="612">
                  <c:v>-22.843131850377674</c:v>
                </c:pt>
                <c:pt idx="613">
                  <c:v>-22.891729720997006</c:v>
                </c:pt>
                <c:pt idx="614">
                  <c:v>-23.055351848494354</c:v>
                </c:pt>
                <c:pt idx="615">
                  <c:v>-23.291179454073799</c:v>
                </c:pt>
                <c:pt idx="616">
                  <c:v>-23.467864860942555</c:v>
                </c:pt>
                <c:pt idx="617">
                  <c:v>-23.480926207752532</c:v>
                </c:pt>
                <c:pt idx="618">
                  <c:v>-23.54105754412781</c:v>
                </c:pt>
                <c:pt idx="619">
                  <c:v>-23.660642907453777</c:v>
                </c:pt>
                <c:pt idx="620">
                  <c:v>-23.884496294116289</c:v>
                </c:pt>
                <c:pt idx="621">
                  <c:v>-23.970276220752808</c:v>
                </c:pt>
                <c:pt idx="622">
                  <c:v>-24.017691130588759</c:v>
                </c:pt>
                <c:pt idx="623">
                  <c:v>-24.114490998702209</c:v>
                </c:pt>
                <c:pt idx="624">
                  <c:v>-24.167923490429743</c:v>
                </c:pt>
                <c:pt idx="625">
                  <c:v>-24.356430425265856</c:v>
                </c:pt>
                <c:pt idx="626">
                  <c:v>-24.405349976868123</c:v>
                </c:pt>
                <c:pt idx="627">
                  <c:v>-24.41738511168279</c:v>
                </c:pt>
                <c:pt idx="628">
                  <c:v>-24.442250236243567</c:v>
                </c:pt>
                <c:pt idx="629">
                  <c:v>-24.514648192331961</c:v>
                </c:pt>
                <c:pt idx="630">
                  <c:v>-24.876499794962157</c:v>
                </c:pt>
                <c:pt idx="631">
                  <c:v>-25.033728657137118</c:v>
                </c:pt>
                <c:pt idx="632">
                  <c:v>-25.305065338574593</c:v>
                </c:pt>
                <c:pt idx="633">
                  <c:v>-25.548337664161252</c:v>
                </c:pt>
                <c:pt idx="634">
                  <c:v>-25.877417511425804</c:v>
                </c:pt>
                <c:pt idx="635">
                  <c:v>-26.282134727880859</c:v>
                </c:pt>
                <c:pt idx="636">
                  <c:v>-26.294747395105944</c:v>
                </c:pt>
                <c:pt idx="637">
                  <c:v>-26.334847786390171</c:v>
                </c:pt>
                <c:pt idx="638">
                  <c:v>-26.778185052620444</c:v>
                </c:pt>
                <c:pt idx="639">
                  <c:v>-26.951465244387009</c:v>
                </c:pt>
                <c:pt idx="640">
                  <c:v>-26.957346842068162</c:v>
                </c:pt>
                <c:pt idx="641">
                  <c:v>-26.976618243988568</c:v>
                </c:pt>
                <c:pt idx="642">
                  <c:v>-27.069396369370423</c:v>
                </c:pt>
                <c:pt idx="643">
                  <c:v>-27.333693249812768</c:v>
                </c:pt>
                <c:pt idx="644">
                  <c:v>-27.809395265360351</c:v>
                </c:pt>
                <c:pt idx="645">
                  <c:v>-27.847262305340877</c:v>
                </c:pt>
                <c:pt idx="646">
                  <c:v>-28.009117348051475</c:v>
                </c:pt>
                <c:pt idx="647">
                  <c:v>-28.13770653079375</c:v>
                </c:pt>
                <c:pt idx="648">
                  <c:v>-28.36612015732139</c:v>
                </c:pt>
                <c:pt idx="649">
                  <c:v>-28.450666697501603</c:v>
                </c:pt>
                <c:pt idx="650">
                  <c:v>-28.697002343929114</c:v>
                </c:pt>
                <c:pt idx="651">
                  <c:v>-29.016023846979948</c:v>
                </c:pt>
                <c:pt idx="652">
                  <c:v>-29.055179776225614</c:v>
                </c:pt>
                <c:pt idx="653">
                  <c:v>-29.08153975491399</c:v>
                </c:pt>
                <c:pt idx="654">
                  <c:v>-29.179625025504407</c:v>
                </c:pt>
                <c:pt idx="655">
                  <c:v>-29.329911088761534</c:v>
                </c:pt>
                <c:pt idx="656">
                  <c:v>-29.377672562430689</c:v>
                </c:pt>
                <c:pt idx="657">
                  <c:v>-29.528023203619924</c:v>
                </c:pt>
                <c:pt idx="658">
                  <c:v>-29.747010084750656</c:v>
                </c:pt>
                <c:pt idx="659">
                  <c:v>-29.782201719262346</c:v>
                </c:pt>
                <c:pt idx="660">
                  <c:v>-30.08394357011619</c:v>
                </c:pt>
                <c:pt idx="661">
                  <c:v>-30.581900524641696</c:v>
                </c:pt>
                <c:pt idx="662">
                  <c:v>-31.032329739402783</c:v>
                </c:pt>
                <c:pt idx="663">
                  <c:v>-31.055178484820829</c:v>
                </c:pt>
                <c:pt idx="664">
                  <c:v>-31.177926532935317</c:v>
                </c:pt>
                <c:pt idx="665">
                  <c:v>-31.361258341905341</c:v>
                </c:pt>
                <c:pt idx="666">
                  <c:v>-31.412542868618118</c:v>
                </c:pt>
                <c:pt idx="667">
                  <c:v>-31.572198631321569</c:v>
                </c:pt>
                <c:pt idx="668">
                  <c:v>-31.679463197249902</c:v>
                </c:pt>
                <c:pt idx="669">
                  <c:v>-31.788909896359073</c:v>
                </c:pt>
                <c:pt idx="670">
                  <c:v>-31.790509210910599</c:v>
                </c:pt>
                <c:pt idx="671">
                  <c:v>-32.115087847272605</c:v>
                </c:pt>
                <c:pt idx="672">
                  <c:v>-32.127820620207359</c:v>
                </c:pt>
                <c:pt idx="673">
                  <c:v>-32.781412932296206</c:v>
                </c:pt>
                <c:pt idx="674">
                  <c:v>-32.832760995265161</c:v>
                </c:pt>
                <c:pt idx="675">
                  <c:v>-32.842105837678019</c:v>
                </c:pt>
                <c:pt idx="676">
                  <c:v>-32.882228804356345</c:v>
                </c:pt>
                <c:pt idx="677">
                  <c:v>-32.890423661906226</c:v>
                </c:pt>
                <c:pt idx="678">
                  <c:v>-32.991272175154748</c:v>
                </c:pt>
                <c:pt idx="679">
                  <c:v>-34.201288537020702</c:v>
                </c:pt>
                <c:pt idx="680">
                  <c:v>-34.560764732203623</c:v>
                </c:pt>
                <c:pt idx="681">
                  <c:v>-34.563094847279785</c:v>
                </c:pt>
                <c:pt idx="682">
                  <c:v>-34.7553222590969</c:v>
                </c:pt>
                <c:pt idx="683">
                  <c:v>-35.655535983238806</c:v>
                </c:pt>
                <c:pt idx="684">
                  <c:v>-35.790772520114757</c:v>
                </c:pt>
                <c:pt idx="685">
                  <c:v>-35.834208843455812</c:v>
                </c:pt>
                <c:pt idx="686">
                  <c:v>-35.881659311907597</c:v>
                </c:pt>
                <c:pt idx="687">
                  <c:v>-36.178112425976465</c:v>
                </c:pt>
                <c:pt idx="688">
                  <c:v>-36.680985223324456</c:v>
                </c:pt>
                <c:pt idx="689">
                  <c:v>-37.082772050375567</c:v>
                </c:pt>
                <c:pt idx="690">
                  <c:v>-37.410659092137465</c:v>
                </c:pt>
                <c:pt idx="691">
                  <c:v>-37.662323180060511</c:v>
                </c:pt>
                <c:pt idx="692">
                  <c:v>-37.986718918197411</c:v>
                </c:pt>
                <c:pt idx="693">
                  <c:v>-38.486121443239753</c:v>
                </c:pt>
                <c:pt idx="694">
                  <c:v>-38.487795821135705</c:v>
                </c:pt>
                <c:pt idx="695">
                  <c:v>-38.931318082160757</c:v>
                </c:pt>
                <c:pt idx="696">
                  <c:v>-39.160744651176273</c:v>
                </c:pt>
                <c:pt idx="697">
                  <c:v>-39.363078051565026</c:v>
                </c:pt>
                <c:pt idx="698">
                  <c:v>-39.781319264944727</c:v>
                </c:pt>
                <c:pt idx="699">
                  <c:v>-40.475805698128497</c:v>
                </c:pt>
                <c:pt idx="700">
                  <c:v>-40.518896001139211</c:v>
                </c:pt>
                <c:pt idx="701">
                  <c:v>-40.757558339126675</c:v>
                </c:pt>
                <c:pt idx="702">
                  <c:v>-40.882562708104402</c:v>
                </c:pt>
                <c:pt idx="703">
                  <c:v>-41.170785438437861</c:v>
                </c:pt>
                <c:pt idx="704">
                  <c:v>-41.218596046102519</c:v>
                </c:pt>
                <c:pt idx="705">
                  <c:v>-41.238950757146881</c:v>
                </c:pt>
                <c:pt idx="706">
                  <c:v>-41.856820624985147</c:v>
                </c:pt>
                <c:pt idx="707">
                  <c:v>-41.924826820165165</c:v>
                </c:pt>
                <c:pt idx="708">
                  <c:v>-42.230633674383824</c:v>
                </c:pt>
                <c:pt idx="709">
                  <c:v>-42.276500877064947</c:v>
                </c:pt>
                <c:pt idx="710">
                  <c:v>-42.505064938666791</c:v>
                </c:pt>
                <c:pt idx="711">
                  <c:v>-42.662464814536705</c:v>
                </c:pt>
                <c:pt idx="712">
                  <c:v>-43.040571193288528</c:v>
                </c:pt>
                <c:pt idx="713">
                  <c:v>-43.400678109159486</c:v>
                </c:pt>
                <c:pt idx="714">
                  <c:v>-43.666973853551326</c:v>
                </c:pt>
                <c:pt idx="715">
                  <c:v>-44.059740999295258</c:v>
                </c:pt>
                <c:pt idx="716">
                  <c:v>-44.591123599185565</c:v>
                </c:pt>
                <c:pt idx="717">
                  <c:v>-44.778093669488442</c:v>
                </c:pt>
                <c:pt idx="718">
                  <c:v>-44.836468999304898</c:v>
                </c:pt>
                <c:pt idx="719">
                  <c:v>-45.17351925888272</c:v>
                </c:pt>
                <c:pt idx="720">
                  <c:v>-45.262627883886196</c:v>
                </c:pt>
                <c:pt idx="721">
                  <c:v>-46.42432024385721</c:v>
                </c:pt>
                <c:pt idx="722">
                  <c:v>-46.45066792688111</c:v>
                </c:pt>
                <c:pt idx="723">
                  <c:v>-46.743344119079254</c:v>
                </c:pt>
                <c:pt idx="724">
                  <c:v>-46.772391467566422</c:v>
                </c:pt>
                <c:pt idx="725">
                  <c:v>-46.872293823446981</c:v>
                </c:pt>
                <c:pt idx="726">
                  <c:v>-46.966220666757138</c:v>
                </c:pt>
                <c:pt idx="727">
                  <c:v>-47.169950525496574</c:v>
                </c:pt>
                <c:pt idx="728">
                  <c:v>-47.463875865139983</c:v>
                </c:pt>
                <c:pt idx="729">
                  <c:v>-47.730303336371364</c:v>
                </c:pt>
                <c:pt idx="730">
                  <c:v>-48.210685234239264</c:v>
                </c:pt>
                <c:pt idx="731">
                  <c:v>-48.504479595959253</c:v>
                </c:pt>
                <c:pt idx="732">
                  <c:v>-48.906777191809368</c:v>
                </c:pt>
                <c:pt idx="733">
                  <c:v>-48.944059794415381</c:v>
                </c:pt>
                <c:pt idx="734">
                  <c:v>-49.031548109697496</c:v>
                </c:pt>
                <c:pt idx="735">
                  <c:v>-49.105222192551139</c:v>
                </c:pt>
                <c:pt idx="736">
                  <c:v>-49.382554853479576</c:v>
                </c:pt>
                <c:pt idx="737">
                  <c:v>-49.459864154885139</c:v>
                </c:pt>
                <c:pt idx="738">
                  <c:v>-49.662089908325612</c:v>
                </c:pt>
                <c:pt idx="739">
                  <c:v>-50.327276168299676</c:v>
                </c:pt>
                <c:pt idx="740">
                  <c:v>-50.3423149075536</c:v>
                </c:pt>
                <c:pt idx="741">
                  <c:v>-50.876618829620924</c:v>
                </c:pt>
                <c:pt idx="742">
                  <c:v>-50.936915819608203</c:v>
                </c:pt>
                <c:pt idx="743">
                  <c:v>-51.114385403593985</c:v>
                </c:pt>
                <c:pt idx="744">
                  <c:v>-51.122220066524676</c:v>
                </c:pt>
                <c:pt idx="745">
                  <c:v>-51.147536838493664</c:v>
                </c:pt>
                <c:pt idx="746">
                  <c:v>-51.2507227469616</c:v>
                </c:pt>
                <c:pt idx="747">
                  <c:v>-51.661085914295285</c:v>
                </c:pt>
                <c:pt idx="748">
                  <c:v>-51.721059320920205</c:v>
                </c:pt>
                <c:pt idx="749">
                  <c:v>-51.771544098349779</c:v>
                </c:pt>
                <c:pt idx="750">
                  <c:v>-52.292964333535991</c:v>
                </c:pt>
                <c:pt idx="751">
                  <c:v>-52.460416346899592</c:v>
                </c:pt>
                <c:pt idx="752">
                  <c:v>-52.597032669916445</c:v>
                </c:pt>
                <c:pt idx="753">
                  <c:v>-52.711946923355953</c:v>
                </c:pt>
                <c:pt idx="754">
                  <c:v>-52.814627405353633</c:v>
                </c:pt>
                <c:pt idx="755">
                  <c:v>-52.883467125545337</c:v>
                </c:pt>
                <c:pt idx="756">
                  <c:v>-52.96291975163129</c:v>
                </c:pt>
                <c:pt idx="757">
                  <c:v>-53.067612846479108</c:v>
                </c:pt>
                <c:pt idx="758">
                  <c:v>-53.568139269579206</c:v>
                </c:pt>
                <c:pt idx="759">
                  <c:v>-53.768351904192286</c:v>
                </c:pt>
                <c:pt idx="760">
                  <c:v>-53.951985016236222</c:v>
                </c:pt>
                <c:pt idx="761">
                  <c:v>-54.010265310548732</c:v>
                </c:pt>
                <c:pt idx="762">
                  <c:v>-54.05579898781906</c:v>
                </c:pt>
                <c:pt idx="763">
                  <c:v>-54.308766650629536</c:v>
                </c:pt>
                <c:pt idx="764">
                  <c:v>-54.384569732681626</c:v>
                </c:pt>
                <c:pt idx="765">
                  <c:v>-55.161054409809111</c:v>
                </c:pt>
                <c:pt idx="766">
                  <c:v>-56.165546702899405</c:v>
                </c:pt>
                <c:pt idx="767">
                  <c:v>-56.453233533516169</c:v>
                </c:pt>
                <c:pt idx="768">
                  <c:v>-56.484511736375225</c:v>
                </c:pt>
                <c:pt idx="769">
                  <c:v>-57.929125916401574</c:v>
                </c:pt>
                <c:pt idx="770">
                  <c:v>-57.960169829443515</c:v>
                </c:pt>
                <c:pt idx="771">
                  <c:v>-58.157262930677433</c:v>
                </c:pt>
                <c:pt idx="772">
                  <c:v>-59.038903549686324</c:v>
                </c:pt>
                <c:pt idx="773">
                  <c:v>-59.422692308008664</c:v>
                </c:pt>
                <c:pt idx="774">
                  <c:v>-59.605949848895193</c:v>
                </c:pt>
                <c:pt idx="775">
                  <c:v>-59.713194366064982</c:v>
                </c:pt>
                <c:pt idx="776">
                  <c:v>-59.847829074794817</c:v>
                </c:pt>
                <c:pt idx="777">
                  <c:v>-60.016413459277487</c:v>
                </c:pt>
                <c:pt idx="778">
                  <c:v>-60.016413459277487</c:v>
                </c:pt>
                <c:pt idx="779">
                  <c:v>-60.016413459277487</c:v>
                </c:pt>
                <c:pt idx="780">
                  <c:v>-60.016413459277487</c:v>
                </c:pt>
                <c:pt idx="781">
                  <c:v>-60.016413459277487</c:v>
                </c:pt>
                <c:pt idx="782">
                  <c:v>-60.016413459277487</c:v>
                </c:pt>
                <c:pt idx="783">
                  <c:v>-60.016413459277487</c:v>
                </c:pt>
                <c:pt idx="784">
                  <c:v>-60.016413459277487</c:v>
                </c:pt>
                <c:pt idx="785">
                  <c:v>-60.016413459277487</c:v>
                </c:pt>
                <c:pt idx="786">
                  <c:v>-60.016413459277487</c:v>
                </c:pt>
                <c:pt idx="787">
                  <c:v>-60.016413459277487</c:v>
                </c:pt>
                <c:pt idx="788">
                  <c:v>-60.016413459277487</c:v>
                </c:pt>
                <c:pt idx="789">
                  <c:v>-60.016413459277487</c:v>
                </c:pt>
                <c:pt idx="790">
                  <c:v>-60.016413459277487</c:v>
                </c:pt>
                <c:pt idx="791">
                  <c:v>-60.016413459277487</c:v>
                </c:pt>
                <c:pt idx="792">
                  <c:v>-60.016413459277487</c:v>
                </c:pt>
                <c:pt idx="793">
                  <c:v>-60.016413459277487</c:v>
                </c:pt>
                <c:pt idx="794">
                  <c:v>-60.016413459277487</c:v>
                </c:pt>
                <c:pt idx="795">
                  <c:v>-60.016413459277487</c:v>
                </c:pt>
                <c:pt idx="796">
                  <c:v>-60.016413459277487</c:v>
                </c:pt>
                <c:pt idx="797">
                  <c:v>-60.016413459277487</c:v>
                </c:pt>
                <c:pt idx="798">
                  <c:v>-60.016413459277487</c:v>
                </c:pt>
                <c:pt idx="799">
                  <c:v>-60.016413459277487</c:v>
                </c:pt>
                <c:pt idx="800">
                  <c:v>-60.016413459277487</c:v>
                </c:pt>
                <c:pt idx="801">
                  <c:v>-60.016413459277487</c:v>
                </c:pt>
                <c:pt idx="802">
                  <c:v>-60.016413459277487</c:v>
                </c:pt>
                <c:pt idx="803">
                  <c:v>-60.016413459277487</c:v>
                </c:pt>
                <c:pt idx="804">
                  <c:v>-60.016413459277487</c:v>
                </c:pt>
                <c:pt idx="805">
                  <c:v>-60.016413459277487</c:v>
                </c:pt>
                <c:pt idx="806">
                  <c:v>-60.016413459277487</c:v>
                </c:pt>
                <c:pt idx="807">
                  <c:v>-60.016413459277487</c:v>
                </c:pt>
                <c:pt idx="808">
                  <c:v>-60.016413459277487</c:v>
                </c:pt>
                <c:pt idx="809">
                  <c:v>-60.016413459277487</c:v>
                </c:pt>
                <c:pt idx="810">
                  <c:v>-60.016413459277487</c:v>
                </c:pt>
                <c:pt idx="811">
                  <c:v>-60.016413459277487</c:v>
                </c:pt>
                <c:pt idx="812">
                  <c:v>-60.016413459277487</c:v>
                </c:pt>
                <c:pt idx="813">
                  <c:v>-60.016413459277487</c:v>
                </c:pt>
                <c:pt idx="814">
                  <c:v>-60.016413459277487</c:v>
                </c:pt>
                <c:pt idx="815">
                  <c:v>-60.016413459277487</c:v>
                </c:pt>
                <c:pt idx="816">
                  <c:v>-60.016413459277487</c:v>
                </c:pt>
                <c:pt idx="817">
                  <c:v>-60.016413459277487</c:v>
                </c:pt>
                <c:pt idx="818">
                  <c:v>-60.016413459277487</c:v>
                </c:pt>
                <c:pt idx="819">
                  <c:v>-60.016413459277487</c:v>
                </c:pt>
                <c:pt idx="820">
                  <c:v>-60.016413459277487</c:v>
                </c:pt>
                <c:pt idx="821">
                  <c:v>-60.016413459277487</c:v>
                </c:pt>
                <c:pt idx="822">
                  <c:v>-60.016413459277487</c:v>
                </c:pt>
                <c:pt idx="823">
                  <c:v>-60.016413459277487</c:v>
                </c:pt>
                <c:pt idx="824">
                  <c:v>-60.016413459277487</c:v>
                </c:pt>
                <c:pt idx="825">
                  <c:v>-60.016413459277487</c:v>
                </c:pt>
                <c:pt idx="826">
                  <c:v>-60.016413459277487</c:v>
                </c:pt>
                <c:pt idx="827">
                  <c:v>-60.016413459277487</c:v>
                </c:pt>
                <c:pt idx="828">
                  <c:v>-60.016413459277487</c:v>
                </c:pt>
                <c:pt idx="829">
                  <c:v>-60.016413459277487</c:v>
                </c:pt>
                <c:pt idx="830">
                  <c:v>-60.016413459277487</c:v>
                </c:pt>
                <c:pt idx="831">
                  <c:v>-60.016413459277487</c:v>
                </c:pt>
                <c:pt idx="832">
                  <c:v>-60.016413459277487</c:v>
                </c:pt>
                <c:pt idx="833">
                  <c:v>-60.016413459277487</c:v>
                </c:pt>
                <c:pt idx="834">
                  <c:v>-60.016413459277487</c:v>
                </c:pt>
                <c:pt idx="835">
                  <c:v>-60.016413459277487</c:v>
                </c:pt>
                <c:pt idx="836">
                  <c:v>-60.016413459277487</c:v>
                </c:pt>
                <c:pt idx="837">
                  <c:v>-60.016413459277487</c:v>
                </c:pt>
                <c:pt idx="838">
                  <c:v>-60.016413459277487</c:v>
                </c:pt>
                <c:pt idx="839">
                  <c:v>-60.016413459277487</c:v>
                </c:pt>
                <c:pt idx="840">
                  <c:v>-60.016413459277487</c:v>
                </c:pt>
                <c:pt idx="841">
                  <c:v>-60.016413459277487</c:v>
                </c:pt>
                <c:pt idx="842">
                  <c:v>-60.016413459277487</c:v>
                </c:pt>
                <c:pt idx="843">
                  <c:v>-60.016413459277487</c:v>
                </c:pt>
                <c:pt idx="844">
                  <c:v>-60.016413459277487</c:v>
                </c:pt>
                <c:pt idx="845">
                  <c:v>-60.016413459277487</c:v>
                </c:pt>
                <c:pt idx="846">
                  <c:v>-60.016413459277487</c:v>
                </c:pt>
                <c:pt idx="847">
                  <c:v>-60.016413459277487</c:v>
                </c:pt>
                <c:pt idx="848">
                  <c:v>-60.016413459277487</c:v>
                </c:pt>
                <c:pt idx="849">
                  <c:v>-60.016413459277487</c:v>
                </c:pt>
                <c:pt idx="850">
                  <c:v>-60.016413459277487</c:v>
                </c:pt>
                <c:pt idx="851">
                  <c:v>-60.016413459277487</c:v>
                </c:pt>
                <c:pt idx="852">
                  <c:v>-60.016413459277487</c:v>
                </c:pt>
                <c:pt idx="853">
                  <c:v>-60.016413459277487</c:v>
                </c:pt>
                <c:pt idx="854">
                  <c:v>-60.016413459277487</c:v>
                </c:pt>
                <c:pt idx="855">
                  <c:v>-60.016413459277487</c:v>
                </c:pt>
                <c:pt idx="856">
                  <c:v>-60.016413459277487</c:v>
                </c:pt>
                <c:pt idx="857">
                  <c:v>-60.016413459277487</c:v>
                </c:pt>
                <c:pt idx="858">
                  <c:v>-60.016413459277487</c:v>
                </c:pt>
                <c:pt idx="859">
                  <c:v>-60.016413459277487</c:v>
                </c:pt>
                <c:pt idx="860">
                  <c:v>-60.016413459277487</c:v>
                </c:pt>
                <c:pt idx="861">
                  <c:v>-60.016413459277487</c:v>
                </c:pt>
                <c:pt idx="862">
                  <c:v>-60.016413459277487</c:v>
                </c:pt>
                <c:pt idx="863">
                  <c:v>-60.016413459277487</c:v>
                </c:pt>
                <c:pt idx="864">
                  <c:v>-60.016413459277487</c:v>
                </c:pt>
                <c:pt idx="865">
                  <c:v>-60.016413459277487</c:v>
                </c:pt>
                <c:pt idx="866">
                  <c:v>-60.016413459277487</c:v>
                </c:pt>
                <c:pt idx="867">
                  <c:v>-60.016413459277487</c:v>
                </c:pt>
                <c:pt idx="868">
                  <c:v>-60.016413459277487</c:v>
                </c:pt>
                <c:pt idx="869">
                  <c:v>-60.016413459277487</c:v>
                </c:pt>
                <c:pt idx="870">
                  <c:v>-60.016413459277487</c:v>
                </c:pt>
                <c:pt idx="871">
                  <c:v>-60.016413459277487</c:v>
                </c:pt>
                <c:pt idx="872">
                  <c:v>-60.016413459277487</c:v>
                </c:pt>
                <c:pt idx="873">
                  <c:v>-60.016413459277487</c:v>
                </c:pt>
                <c:pt idx="874">
                  <c:v>-60.016413459277487</c:v>
                </c:pt>
                <c:pt idx="875">
                  <c:v>-60.016413459277487</c:v>
                </c:pt>
                <c:pt idx="876">
                  <c:v>-60.016413459277487</c:v>
                </c:pt>
                <c:pt idx="877">
                  <c:v>-60.016413459277487</c:v>
                </c:pt>
                <c:pt idx="878">
                  <c:v>-60.016413459277487</c:v>
                </c:pt>
                <c:pt idx="879">
                  <c:v>-60.016413459277487</c:v>
                </c:pt>
                <c:pt idx="880">
                  <c:v>-60.016413459277487</c:v>
                </c:pt>
                <c:pt idx="881">
                  <c:v>-60.016413459277487</c:v>
                </c:pt>
                <c:pt idx="882">
                  <c:v>-60.016413459277487</c:v>
                </c:pt>
                <c:pt idx="883">
                  <c:v>-60.016413459277487</c:v>
                </c:pt>
                <c:pt idx="884">
                  <c:v>-60.016413459277487</c:v>
                </c:pt>
                <c:pt idx="885">
                  <c:v>-60.016413459277487</c:v>
                </c:pt>
                <c:pt idx="886">
                  <c:v>-60.016413459277487</c:v>
                </c:pt>
                <c:pt idx="887">
                  <c:v>-60.016413459277487</c:v>
                </c:pt>
                <c:pt idx="888">
                  <c:v>-60.016413459277487</c:v>
                </c:pt>
                <c:pt idx="889">
                  <c:v>-60.016413459277487</c:v>
                </c:pt>
                <c:pt idx="890">
                  <c:v>-60.016413459277487</c:v>
                </c:pt>
                <c:pt idx="891">
                  <c:v>-60.016413459277487</c:v>
                </c:pt>
                <c:pt idx="892">
                  <c:v>-60.016413459277487</c:v>
                </c:pt>
                <c:pt idx="893">
                  <c:v>-60.016413459277487</c:v>
                </c:pt>
                <c:pt idx="894">
                  <c:v>-60.016413459277487</c:v>
                </c:pt>
                <c:pt idx="895">
                  <c:v>-60.016413459277487</c:v>
                </c:pt>
                <c:pt idx="896">
                  <c:v>-60.016413459277487</c:v>
                </c:pt>
                <c:pt idx="897">
                  <c:v>-60.016413459277487</c:v>
                </c:pt>
                <c:pt idx="898">
                  <c:v>-60.016413459277487</c:v>
                </c:pt>
                <c:pt idx="899">
                  <c:v>-60.016413459277487</c:v>
                </c:pt>
                <c:pt idx="900">
                  <c:v>-60.016413459277487</c:v>
                </c:pt>
                <c:pt idx="901">
                  <c:v>-60.016413459277487</c:v>
                </c:pt>
                <c:pt idx="902">
                  <c:v>-60.016413459277487</c:v>
                </c:pt>
                <c:pt idx="903">
                  <c:v>-60.016413459277487</c:v>
                </c:pt>
                <c:pt idx="904">
                  <c:v>-60.016413459277487</c:v>
                </c:pt>
                <c:pt idx="905">
                  <c:v>-60.016413459277487</c:v>
                </c:pt>
                <c:pt idx="906">
                  <c:v>-60.016413459277487</c:v>
                </c:pt>
                <c:pt idx="907">
                  <c:v>-60.016413459277487</c:v>
                </c:pt>
                <c:pt idx="908">
                  <c:v>-60.016413459277487</c:v>
                </c:pt>
                <c:pt idx="909">
                  <c:v>-60.016413459277487</c:v>
                </c:pt>
                <c:pt idx="910">
                  <c:v>-60.016413459277487</c:v>
                </c:pt>
                <c:pt idx="911">
                  <c:v>-60.016413459277487</c:v>
                </c:pt>
                <c:pt idx="912">
                  <c:v>-60.016413459277487</c:v>
                </c:pt>
                <c:pt idx="913">
                  <c:v>-60.016413459277487</c:v>
                </c:pt>
                <c:pt idx="914">
                  <c:v>-60.016413459277487</c:v>
                </c:pt>
                <c:pt idx="915">
                  <c:v>-60.016413459277487</c:v>
                </c:pt>
                <c:pt idx="916">
                  <c:v>-60.016413459277487</c:v>
                </c:pt>
                <c:pt idx="917">
                  <c:v>-60.016413459277487</c:v>
                </c:pt>
                <c:pt idx="918">
                  <c:v>-60.016413459277487</c:v>
                </c:pt>
                <c:pt idx="919">
                  <c:v>-60.016413459277487</c:v>
                </c:pt>
                <c:pt idx="920">
                  <c:v>-60.016413459277487</c:v>
                </c:pt>
                <c:pt idx="921">
                  <c:v>-60.016413459277487</c:v>
                </c:pt>
                <c:pt idx="922">
                  <c:v>-60.016413459277487</c:v>
                </c:pt>
                <c:pt idx="923">
                  <c:v>-60.016413459277487</c:v>
                </c:pt>
                <c:pt idx="924">
                  <c:v>-60.016413459277487</c:v>
                </c:pt>
                <c:pt idx="925">
                  <c:v>-60.016413459277487</c:v>
                </c:pt>
                <c:pt idx="926">
                  <c:v>-60.016413459277487</c:v>
                </c:pt>
                <c:pt idx="927">
                  <c:v>-60.016413459277487</c:v>
                </c:pt>
                <c:pt idx="928">
                  <c:v>-60.016413459277487</c:v>
                </c:pt>
                <c:pt idx="929">
                  <c:v>-60.016413459277487</c:v>
                </c:pt>
                <c:pt idx="930">
                  <c:v>-60.016413459277487</c:v>
                </c:pt>
                <c:pt idx="931">
                  <c:v>-60.016413459277487</c:v>
                </c:pt>
                <c:pt idx="932">
                  <c:v>-60.016413459277487</c:v>
                </c:pt>
                <c:pt idx="933">
                  <c:v>-60.016413459277487</c:v>
                </c:pt>
                <c:pt idx="934">
                  <c:v>-60.016413459277487</c:v>
                </c:pt>
                <c:pt idx="935">
                  <c:v>-60.016413459277487</c:v>
                </c:pt>
                <c:pt idx="936">
                  <c:v>-60.016413459277487</c:v>
                </c:pt>
                <c:pt idx="937">
                  <c:v>-60.016413459277487</c:v>
                </c:pt>
                <c:pt idx="938">
                  <c:v>-60.016413459277487</c:v>
                </c:pt>
                <c:pt idx="939">
                  <c:v>-60.016413459277487</c:v>
                </c:pt>
                <c:pt idx="940">
                  <c:v>-60.016413459277487</c:v>
                </c:pt>
                <c:pt idx="941">
                  <c:v>-60.016413459277487</c:v>
                </c:pt>
                <c:pt idx="942">
                  <c:v>-60.016413459277487</c:v>
                </c:pt>
                <c:pt idx="943">
                  <c:v>-60.016413459277487</c:v>
                </c:pt>
                <c:pt idx="944">
                  <c:v>-60.016413459277487</c:v>
                </c:pt>
                <c:pt idx="945">
                  <c:v>-60.016413459277487</c:v>
                </c:pt>
                <c:pt idx="946">
                  <c:v>-60.016413459277487</c:v>
                </c:pt>
                <c:pt idx="947">
                  <c:v>-60.016413459277487</c:v>
                </c:pt>
                <c:pt idx="948">
                  <c:v>-60.016413459277487</c:v>
                </c:pt>
                <c:pt idx="949">
                  <c:v>-60.016413459277487</c:v>
                </c:pt>
                <c:pt idx="950">
                  <c:v>-60.016413459277487</c:v>
                </c:pt>
                <c:pt idx="951">
                  <c:v>-60.016413459277487</c:v>
                </c:pt>
                <c:pt idx="952">
                  <c:v>-60.016413459277487</c:v>
                </c:pt>
                <c:pt idx="953">
                  <c:v>-60.016413459277487</c:v>
                </c:pt>
                <c:pt idx="954">
                  <c:v>-60.016413459277487</c:v>
                </c:pt>
                <c:pt idx="955">
                  <c:v>-60.016413459277487</c:v>
                </c:pt>
                <c:pt idx="956">
                  <c:v>-60.016413459277487</c:v>
                </c:pt>
                <c:pt idx="957">
                  <c:v>-60.016413459277487</c:v>
                </c:pt>
                <c:pt idx="958">
                  <c:v>-60.016413459277487</c:v>
                </c:pt>
                <c:pt idx="959">
                  <c:v>-60.016413459277487</c:v>
                </c:pt>
                <c:pt idx="960">
                  <c:v>-60.016413459277487</c:v>
                </c:pt>
                <c:pt idx="961">
                  <c:v>-60.016413459277487</c:v>
                </c:pt>
                <c:pt idx="962">
                  <c:v>-60.016413459277487</c:v>
                </c:pt>
                <c:pt idx="963">
                  <c:v>-60.016413459277487</c:v>
                </c:pt>
                <c:pt idx="964">
                  <c:v>-60.016413459277487</c:v>
                </c:pt>
                <c:pt idx="965">
                  <c:v>-60.016413459277487</c:v>
                </c:pt>
                <c:pt idx="966">
                  <c:v>-60.016413459277487</c:v>
                </c:pt>
                <c:pt idx="967">
                  <c:v>-60.016413459277487</c:v>
                </c:pt>
                <c:pt idx="968">
                  <c:v>-60.016413459277487</c:v>
                </c:pt>
                <c:pt idx="969">
                  <c:v>-60.016413459277487</c:v>
                </c:pt>
                <c:pt idx="970">
                  <c:v>-60.016413459277487</c:v>
                </c:pt>
                <c:pt idx="971">
                  <c:v>-60.016413459277487</c:v>
                </c:pt>
                <c:pt idx="972">
                  <c:v>-60.016413459277487</c:v>
                </c:pt>
                <c:pt idx="973">
                  <c:v>-60.016413459277487</c:v>
                </c:pt>
                <c:pt idx="974">
                  <c:v>-60.016413459277487</c:v>
                </c:pt>
                <c:pt idx="975">
                  <c:v>-60.016413459277487</c:v>
                </c:pt>
                <c:pt idx="976">
                  <c:v>-60.016413459277487</c:v>
                </c:pt>
                <c:pt idx="977">
                  <c:v>-60.016413459277487</c:v>
                </c:pt>
                <c:pt idx="978">
                  <c:v>-60.016413459277487</c:v>
                </c:pt>
                <c:pt idx="979">
                  <c:v>-60.016413459277487</c:v>
                </c:pt>
                <c:pt idx="980">
                  <c:v>-60.016413459277487</c:v>
                </c:pt>
                <c:pt idx="981">
                  <c:v>-60.016413459277487</c:v>
                </c:pt>
                <c:pt idx="982">
                  <c:v>-60.016413459277487</c:v>
                </c:pt>
                <c:pt idx="983">
                  <c:v>-60.016413459277487</c:v>
                </c:pt>
                <c:pt idx="984">
                  <c:v>-60.016413459277487</c:v>
                </c:pt>
                <c:pt idx="985">
                  <c:v>-60.016413459277487</c:v>
                </c:pt>
                <c:pt idx="986">
                  <c:v>-60.016413459277487</c:v>
                </c:pt>
                <c:pt idx="987">
                  <c:v>-60.016413459277487</c:v>
                </c:pt>
                <c:pt idx="988">
                  <c:v>-60.016413459277487</c:v>
                </c:pt>
                <c:pt idx="989">
                  <c:v>-60.016413459277487</c:v>
                </c:pt>
                <c:pt idx="990">
                  <c:v>-60.016413459277487</c:v>
                </c:pt>
                <c:pt idx="991">
                  <c:v>-60.016413459277487</c:v>
                </c:pt>
                <c:pt idx="992">
                  <c:v>-60.016413459277487</c:v>
                </c:pt>
                <c:pt idx="993">
                  <c:v>-60.016413459277487</c:v>
                </c:pt>
                <c:pt idx="994">
                  <c:v>-60.016413459277487</c:v>
                </c:pt>
                <c:pt idx="995">
                  <c:v>-60.016413459277487</c:v>
                </c:pt>
                <c:pt idx="996">
                  <c:v>-60.016413459277487</c:v>
                </c:pt>
                <c:pt idx="997">
                  <c:v>-60.016413459277487</c:v>
                </c:pt>
                <c:pt idx="998">
                  <c:v>-60.016413459277487</c:v>
                </c:pt>
                <c:pt idx="999">
                  <c:v>-60.016413459277487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4A-4E58-B395-D4CE60CCB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0388368"/>
        <c:axId val="1510378768"/>
      </c:scatterChart>
      <c:valAx>
        <c:axId val="1510388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Asset value at</a:t>
                </a:r>
                <a:r>
                  <a:rPr lang="en-US" baseline="0"/>
                  <a:t> maturity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378768"/>
        <c:crosses val="autoZero"/>
        <c:crossBetween val="midCat"/>
      </c:valAx>
      <c:valAx>
        <c:axId val="151037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New Deal Payoff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388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97631</xdr:colOff>
      <xdr:row>13</xdr:row>
      <xdr:rowOff>90487</xdr:rowOff>
    </xdr:from>
    <xdr:to>
      <xdr:col>19</xdr:col>
      <xdr:colOff>54768</xdr:colOff>
      <xdr:row>28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448EAC-AB5E-7D50-AFCC-C221C36A4C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F7509-29D9-437F-8F2F-55840AE1A412}">
  <dimension ref="B2:Y1004"/>
  <sheetViews>
    <sheetView showGridLines="0" topLeftCell="A2" zoomScale="143" workbookViewId="0">
      <selection activeCell="B21" sqref="B21"/>
    </sheetView>
  </sheetViews>
  <sheetFormatPr baseColWidth="10" defaultColWidth="8.83203125" defaultRowHeight="15" x14ac:dyDescent="0.2"/>
  <cols>
    <col min="1" max="1" width="4.5" customWidth="1"/>
    <col min="4" max="4" width="10" bestFit="1" customWidth="1"/>
    <col min="5" max="5" width="12.1640625" customWidth="1"/>
    <col min="8" max="8" width="14.1640625" customWidth="1"/>
    <col min="10" max="10" width="11" customWidth="1"/>
    <col min="19" max="19" width="10.83203125" customWidth="1"/>
  </cols>
  <sheetData>
    <row r="2" spans="2:24" ht="21" x14ac:dyDescent="0.25">
      <c r="B2" s="5" t="s">
        <v>34</v>
      </c>
    </row>
    <row r="3" spans="2:24" x14ac:dyDescent="0.2">
      <c r="B3" s="3" t="s">
        <v>17</v>
      </c>
      <c r="R3" s="12"/>
    </row>
    <row r="4" spans="2:24" x14ac:dyDescent="0.2">
      <c r="G4" s="6"/>
    </row>
    <row r="5" spans="2:24" ht="34" x14ac:dyDescent="0.4">
      <c r="H5" s="19" t="s">
        <v>48</v>
      </c>
    </row>
    <row r="6" spans="2:24" ht="16" x14ac:dyDescent="0.2">
      <c r="B6" s="3" t="s">
        <v>30</v>
      </c>
      <c r="R6" s="11"/>
    </row>
    <row r="8" spans="2:24" x14ac:dyDescent="0.2">
      <c r="B8" t="s">
        <v>0</v>
      </c>
      <c r="E8" s="10">
        <v>100</v>
      </c>
      <c r="H8" t="s">
        <v>50</v>
      </c>
      <c r="U8" s="7"/>
      <c r="W8" s="2"/>
    </row>
    <row r="9" spans="2:24" x14ac:dyDescent="0.2">
      <c r="B9" t="s">
        <v>26</v>
      </c>
      <c r="E9" s="2">
        <v>0.1</v>
      </c>
      <c r="F9" s="3"/>
      <c r="R9" s="3"/>
      <c r="S9" s="7"/>
      <c r="T9" s="16"/>
      <c r="U9" s="7"/>
      <c r="W9" s="7"/>
    </row>
    <row r="10" spans="2:24" x14ac:dyDescent="0.2">
      <c r="B10" t="s">
        <v>1</v>
      </c>
      <c r="E10">
        <v>1</v>
      </c>
      <c r="H10" t="s">
        <v>51</v>
      </c>
      <c r="R10" s="3"/>
      <c r="S10" s="17"/>
      <c r="T10" s="17"/>
      <c r="U10" s="13"/>
    </row>
    <row r="11" spans="2:24" x14ac:dyDescent="0.2">
      <c r="B11" t="s">
        <v>38</v>
      </c>
      <c r="E11" s="10">
        <v>80</v>
      </c>
      <c r="F11" t="s">
        <v>49</v>
      </c>
      <c r="R11" s="8"/>
      <c r="S11" s="1"/>
      <c r="T11" s="17"/>
      <c r="U11" s="2"/>
    </row>
    <row r="12" spans="2:24" x14ac:dyDescent="0.2">
      <c r="B12" t="s">
        <v>2</v>
      </c>
      <c r="E12" s="2">
        <v>0.05</v>
      </c>
      <c r="F12" s="20">
        <f>EXP(-RR*T)</f>
        <v>0.95122942450071402</v>
      </c>
      <c r="H12" t="s">
        <v>54</v>
      </c>
      <c r="S12" s="1"/>
      <c r="T12" s="17"/>
      <c r="U12" s="2"/>
    </row>
    <row r="13" spans="2:24" x14ac:dyDescent="0.2">
      <c r="B13" t="s">
        <v>5</v>
      </c>
      <c r="E13" s="2">
        <v>0.6</v>
      </c>
      <c r="G13" s="6"/>
      <c r="S13" s="1"/>
      <c r="T13" s="17"/>
      <c r="U13" s="2"/>
    </row>
    <row r="14" spans="2:24" x14ac:dyDescent="0.2">
      <c r="B14" t="s">
        <v>37</v>
      </c>
      <c r="E14" s="10">
        <v>50</v>
      </c>
      <c r="H14" t="s">
        <v>52</v>
      </c>
      <c r="S14" s="1"/>
      <c r="T14" s="17"/>
      <c r="U14" s="2"/>
      <c r="X14" s="3"/>
    </row>
    <row r="15" spans="2:24" x14ac:dyDescent="0.2">
      <c r="B15" t="s">
        <v>7</v>
      </c>
      <c r="E15" s="2">
        <v>0.4</v>
      </c>
      <c r="H15" s="4" t="s">
        <v>53</v>
      </c>
      <c r="S15" s="1"/>
      <c r="T15" s="17"/>
      <c r="U15" s="2"/>
    </row>
    <row r="16" spans="2:24" x14ac:dyDescent="0.2">
      <c r="B16" t="s">
        <v>56</v>
      </c>
      <c r="E16" s="1">
        <v>10</v>
      </c>
      <c r="H16" s="4" t="s">
        <v>55</v>
      </c>
      <c r="S16" s="1"/>
      <c r="T16" s="17"/>
      <c r="U16" s="2"/>
    </row>
    <row r="17" spans="2:21" x14ac:dyDescent="0.2">
      <c r="B17" s="3" t="s">
        <v>24</v>
      </c>
      <c r="H17" s="4" t="s">
        <v>60</v>
      </c>
      <c r="S17" s="1"/>
      <c r="T17" s="17"/>
      <c r="U17" s="2"/>
    </row>
    <row r="18" spans="2:21" x14ac:dyDescent="0.2">
      <c r="H18" s="4" t="s">
        <v>57</v>
      </c>
      <c r="S18" s="1"/>
      <c r="T18" s="17"/>
      <c r="U18" s="2"/>
    </row>
    <row r="19" spans="2:21" x14ac:dyDescent="0.2">
      <c r="B19" t="s">
        <v>27</v>
      </c>
      <c r="C19" s="3"/>
      <c r="D19" s="3"/>
      <c r="E19" s="3"/>
      <c r="F19" s="3"/>
      <c r="H19" s="4" t="s">
        <v>61</v>
      </c>
      <c r="S19" s="1"/>
      <c r="T19" s="17"/>
      <c r="U19" s="2"/>
    </row>
    <row r="20" spans="2:21" x14ac:dyDescent="0.2">
      <c r="B20" t="s">
        <v>25</v>
      </c>
      <c r="H20" s="4" t="s">
        <v>62</v>
      </c>
      <c r="S20" s="1"/>
      <c r="T20" s="17"/>
      <c r="U20" s="2"/>
    </row>
    <row r="21" spans="2:21" x14ac:dyDescent="0.2">
      <c r="B21" s="4" t="s">
        <v>28</v>
      </c>
      <c r="H21" s="4" t="s">
        <v>59</v>
      </c>
      <c r="S21" s="1"/>
      <c r="T21" s="17"/>
      <c r="U21" s="2"/>
    </row>
    <row r="22" spans="2:21" x14ac:dyDescent="0.2">
      <c r="B22" s="3" t="s">
        <v>29</v>
      </c>
      <c r="E22" s="10">
        <f>MIN(E14,E11)</f>
        <v>50</v>
      </c>
      <c r="F22" s="3"/>
      <c r="H22" s="4" t="s">
        <v>58</v>
      </c>
      <c r="S22" s="1"/>
      <c r="T22" s="17"/>
      <c r="U22" s="2"/>
    </row>
    <row r="23" spans="2:21" x14ac:dyDescent="0.2">
      <c r="S23" s="1"/>
      <c r="T23" s="17"/>
      <c r="U23" s="2"/>
    </row>
    <row r="24" spans="2:21" x14ac:dyDescent="0.2">
      <c r="B24" s="3" t="s">
        <v>16</v>
      </c>
      <c r="H24" s="6"/>
      <c r="S24" s="1"/>
      <c r="T24" s="17"/>
      <c r="U24" s="2"/>
    </row>
    <row r="25" spans="2:21" x14ac:dyDescent="0.2">
      <c r="S25" s="1"/>
      <c r="T25" s="17"/>
      <c r="U25" s="2"/>
    </row>
    <row r="26" spans="2:21" x14ac:dyDescent="0.2">
      <c r="B26" t="s">
        <v>15</v>
      </c>
      <c r="C26" s="4" t="s">
        <v>40</v>
      </c>
      <c r="S26" s="1"/>
      <c r="T26" s="17"/>
      <c r="U26" s="2"/>
    </row>
    <row r="27" spans="2:21" x14ac:dyDescent="0.2">
      <c r="B27" t="s">
        <v>12</v>
      </c>
      <c r="C27" s="4" t="s">
        <v>39</v>
      </c>
      <c r="S27" s="1"/>
      <c r="T27" s="17"/>
      <c r="U27" s="2"/>
    </row>
    <row r="28" spans="2:21" x14ac:dyDescent="0.2">
      <c r="B28" t="s">
        <v>13</v>
      </c>
      <c r="C28" s="4" t="s">
        <v>35</v>
      </c>
      <c r="S28" s="1"/>
      <c r="T28" s="17"/>
      <c r="U28" s="2"/>
    </row>
    <row r="29" spans="2:21" x14ac:dyDescent="0.2">
      <c r="B29" t="s">
        <v>8</v>
      </c>
      <c r="C29" s="4" t="s">
        <v>36</v>
      </c>
      <c r="S29" s="1"/>
      <c r="T29" s="17"/>
      <c r="U29" s="2"/>
    </row>
    <row r="30" spans="2:21" x14ac:dyDescent="0.2">
      <c r="S30" s="1"/>
      <c r="T30" s="17"/>
      <c r="U30" s="2"/>
    </row>
    <row r="31" spans="2:21" x14ac:dyDescent="0.2">
      <c r="S31" s="1"/>
      <c r="T31" s="17"/>
      <c r="U31" s="2"/>
    </row>
    <row r="32" spans="2:21" x14ac:dyDescent="0.2">
      <c r="S32" s="1"/>
      <c r="T32" s="17"/>
      <c r="U32" s="2"/>
    </row>
    <row r="33" spans="2:21" x14ac:dyDescent="0.2">
      <c r="S33" s="1"/>
      <c r="T33" s="17"/>
      <c r="U33" s="2"/>
    </row>
    <row r="34" spans="2:21" x14ac:dyDescent="0.2">
      <c r="S34" s="1"/>
      <c r="T34" s="17"/>
      <c r="U34" s="2"/>
    </row>
    <row r="35" spans="2:21" x14ac:dyDescent="0.2">
      <c r="S35" s="1"/>
      <c r="T35" s="17"/>
      <c r="U35" s="2"/>
    </row>
    <row r="36" spans="2:21" x14ac:dyDescent="0.2">
      <c r="B36" s="3"/>
      <c r="S36" s="1"/>
      <c r="T36" s="17"/>
      <c r="U36" s="2"/>
    </row>
    <row r="37" spans="2:21" x14ac:dyDescent="0.2">
      <c r="S37" s="1"/>
      <c r="T37" s="17"/>
      <c r="U37" s="2"/>
    </row>
    <row r="38" spans="2:21" x14ac:dyDescent="0.2">
      <c r="C38" s="1"/>
      <c r="F38" s="1"/>
      <c r="S38" s="1"/>
      <c r="T38" s="17"/>
      <c r="U38" s="2"/>
    </row>
    <row r="39" spans="2:21" x14ac:dyDescent="0.2">
      <c r="C39" s="1"/>
      <c r="F39" s="1"/>
      <c r="S39" s="1"/>
      <c r="T39" s="17"/>
      <c r="U39" s="2"/>
    </row>
    <row r="40" spans="2:21" x14ac:dyDescent="0.2">
      <c r="C40" s="1"/>
      <c r="S40" s="1"/>
      <c r="T40" s="17"/>
      <c r="U40" s="2"/>
    </row>
    <row r="41" spans="2:21" x14ac:dyDescent="0.2">
      <c r="C41" s="1"/>
      <c r="S41" s="1"/>
      <c r="T41" s="17"/>
      <c r="U41" s="2"/>
    </row>
    <row r="42" spans="2:21" x14ac:dyDescent="0.2">
      <c r="C42" s="1"/>
      <c r="S42" s="1"/>
      <c r="T42" s="17"/>
      <c r="U42" s="2"/>
    </row>
    <row r="43" spans="2:21" x14ac:dyDescent="0.2">
      <c r="B43" s="4"/>
      <c r="C43" s="1"/>
      <c r="S43" s="1"/>
      <c r="T43" s="17"/>
      <c r="U43" s="2"/>
    </row>
    <row r="44" spans="2:21" x14ac:dyDescent="0.2">
      <c r="S44" s="1"/>
      <c r="T44" s="17"/>
      <c r="U44" s="2"/>
    </row>
    <row r="45" spans="2:21" x14ac:dyDescent="0.2">
      <c r="B45" s="3"/>
      <c r="E45" s="3"/>
      <c r="S45" s="1"/>
      <c r="T45" s="17"/>
      <c r="U45" s="2"/>
    </row>
    <row r="46" spans="2:21" x14ac:dyDescent="0.2">
      <c r="C46" s="1"/>
      <c r="F46" s="1"/>
      <c r="S46" s="1"/>
      <c r="T46" s="17"/>
      <c r="U46" s="2"/>
    </row>
    <row r="47" spans="2:21" x14ac:dyDescent="0.2">
      <c r="C47" s="1"/>
      <c r="F47" s="1"/>
      <c r="S47" s="1"/>
      <c r="T47" s="17"/>
      <c r="U47" s="2"/>
    </row>
    <row r="48" spans="2:21" x14ac:dyDescent="0.2">
      <c r="C48" s="1"/>
      <c r="F48" s="1"/>
      <c r="S48" s="1"/>
      <c r="T48" s="17"/>
      <c r="U48" s="2"/>
    </row>
    <row r="49" spans="2:21" x14ac:dyDescent="0.2">
      <c r="C49" s="1"/>
      <c r="F49" s="1"/>
      <c r="S49" s="1"/>
      <c r="T49" s="17"/>
      <c r="U49" s="2"/>
    </row>
    <row r="50" spans="2:21" x14ac:dyDescent="0.2">
      <c r="C50" s="1"/>
      <c r="F50" s="1"/>
      <c r="S50" s="1"/>
      <c r="T50" s="17"/>
      <c r="U50" s="2"/>
    </row>
    <row r="51" spans="2:21" x14ac:dyDescent="0.2">
      <c r="S51" s="1"/>
      <c r="T51" s="17"/>
      <c r="U51" s="2"/>
    </row>
    <row r="52" spans="2:21" x14ac:dyDescent="0.2">
      <c r="B52" s="3"/>
      <c r="S52" s="1"/>
      <c r="T52" s="17"/>
      <c r="U52" s="2"/>
    </row>
    <row r="53" spans="2:21" x14ac:dyDescent="0.2">
      <c r="S53" s="1"/>
      <c r="T53" s="17"/>
      <c r="U53" s="2"/>
    </row>
    <row r="54" spans="2:21" x14ac:dyDescent="0.2">
      <c r="C54" s="1"/>
      <c r="D54" s="1"/>
      <c r="S54" s="1"/>
      <c r="T54" s="17"/>
      <c r="U54" s="2"/>
    </row>
    <row r="55" spans="2:21" x14ac:dyDescent="0.2">
      <c r="C55" s="1"/>
      <c r="D55" s="1"/>
      <c r="S55" s="1"/>
      <c r="T55" s="17"/>
      <c r="U55" s="2"/>
    </row>
    <row r="56" spans="2:21" x14ac:dyDescent="0.2">
      <c r="C56" s="1"/>
      <c r="D56" s="1"/>
      <c r="S56" s="1"/>
      <c r="T56" s="17"/>
      <c r="U56" s="2"/>
    </row>
    <row r="57" spans="2:21" x14ac:dyDescent="0.2">
      <c r="C57" s="1"/>
      <c r="D57" s="1"/>
      <c r="S57" s="1"/>
      <c r="T57" s="17"/>
      <c r="U57" s="2"/>
    </row>
    <row r="58" spans="2:21" x14ac:dyDescent="0.2">
      <c r="C58" s="1"/>
      <c r="D58" s="1"/>
      <c r="H58" s="1"/>
      <c r="S58" s="1"/>
      <c r="T58" s="17"/>
      <c r="U58" s="2"/>
    </row>
    <row r="59" spans="2:21" x14ac:dyDescent="0.2">
      <c r="B59" s="4"/>
      <c r="C59" s="1"/>
      <c r="D59" s="1"/>
      <c r="H59" s="1"/>
      <c r="S59" s="1"/>
      <c r="T59" s="17"/>
      <c r="U59" s="2"/>
    </row>
    <row r="60" spans="2:21" x14ac:dyDescent="0.2">
      <c r="H60" s="1"/>
      <c r="S60" s="1"/>
      <c r="T60" s="17"/>
      <c r="U60" s="2"/>
    </row>
    <row r="61" spans="2:21" x14ac:dyDescent="0.2">
      <c r="B61" s="3"/>
      <c r="H61" s="1"/>
      <c r="S61" s="1"/>
      <c r="T61" s="17"/>
      <c r="U61" s="2"/>
    </row>
    <row r="62" spans="2:21" x14ac:dyDescent="0.2">
      <c r="C62" s="6"/>
      <c r="D62" s="6"/>
      <c r="E62" s="6"/>
      <c r="F62" s="6"/>
      <c r="H62" s="1"/>
      <c r="S62" s="1"/>
      <c r="T62" s="17"/>
      <c r="U62" s="2"/>
    </row>
    <row r="63" spans="2:21" x14ac:dyDescent="0.2">
      <c r="C63" s="14"/>
      <c r="D63" s="1"/>
      <c r="S63" s="1"/>
      <c r="T63" s="17"/>
      <c r="U63" s="2"/>
    </row>
    <row r="64" spans="2:21" x14ac:dyDescent="0.2">
      <c r="C64" s="1"/>
      <c r="D64" s="1"/>
      <c r="E64" s="2"/>
      <c r="S64" s="1"/>
      <c r="T64" s="17"/>
      <c r="U64" s="2"/>
    </row>
    <row r="65" spans="2:21" x14ac:dyDescent="0.2">
      <c r="C65" s="1"/>
      <c r="D65" s="1"/>
      <c r="E65" s="2"/>
      <c r="F65" s="15"/>
      <c r="S65" s="1"/>
      <c r="T65" s="17"/>
      <c r="U65" s="2"/>
    </row>
    <row r="66" spans="2:21" x14ac:dyDescent="0.2">
      <c r="C66" s="1"/>
      <c r="D66" s="1"/>
      <c r="E66" s="2"/>
      <c r="S66" s="1"/>
      <c r="T66" s="17"/>
      <c r="U66" s="2"/>
    </row>
    <row r="67" spans="2:21" x14ac:dyDescent="0.2">
      <c r="C67" s="1"/>
      <c r="D67" s="1"/>
      <c r="E67" s="2"/>
      <c r="S67" s="1"/>
      <c r="T67" s="17"/>
      <c r="U67" s="2"/>
    </row>
    <row r="68" spans="2:21" x14ac:dyDescent="0.2">
      <c r="B68" s="4"/>
      <c r="C68" s="1"/>
      <c r="S68" s="1"/>
      <c r="T68" s="17"/>
      <c r="U68" s="2"/>
    </row>
    <row r="69" spans="2:21" x14ac:dyDescent="0.2">
      <c r="S69" s="1"/>
      <c r="T69" s="17"/>
      <c r="U69" s="2"/>
    </row>
    <row r="70" spans="2:21" x14ac:dyDescent="0.2">
      <c r="B70" s="3"/>
      <c r="E70" s="3"/>
      <c r="S70" s="1"/>
      <c r="T70" s="17"/>
      <c r="U70" s="2"/>
    </row>
    <row r="71" spans="2:21" x14ac:dyDescent="0.2">
      <c r="C71" s="1"/>
      <c r="F71" s="1"/>
      <c r="S71" s="1"/>
      <c r="T71" s="17"/>
      <c r="U71" s="2"/>
    </row>
    <row r="72" spans="2:21" x14ac:dyDescent="0.2">
      <c r="C72" s="1"/>
      <c r="F72" s="1"/>
      <c r="S72" s="1"/>
      <c r="T72" s="17"/>
      <c r="U72" s="2"/>
    </row>
    <row r="73" spans="2:21" x14ac:dyDescent="0.2">
      <c r="C73" s="1"/>
      <c r="F73" s="1"/>
      <c r="S73" s="1"/>
      <c r="T73" s="17"/>
      <c r="U73" s="2"/>
    </row>
    <row r="74" spans="2:21" x14ac:dyDescent="0.2">
      <c r="C74" s="1"/>
      <c r="F74" s="1"/>
      <c r="S74" s="1"/>
      <c r="T74" s="17"/>
      <c r="U74" s="2"/>
    </row>
    <row r="75" spans="2:21" x14ac:dyDescent="0.2">
      <c r="C75" s="1"/>
      <c r="F75" s="1"/>
      <c r="S75" s="1"/>
      <c r="T75" s="17"/>
      <c r="U75" s="2"/>
    </row>
    <row r="76" spans="2:21" x14ac:dyDescent="0.2">
      <c r="S76" s="1"/>
      <c r="T76" s="17"/>
      <c r="U76" s="2"/>
    </row>
    <row r="77" spans="2:21" x14ac:dyDescent="0.2">
      <c r="S77" s="1"/>
      <c r="T77" s="17"/>
      <c r="U77" s="2"/>
    </row>
    <row r="78" spans="2:21" x14ac:dyDescent="0.2">
      <c r="S78" s="1"/>
      <c r="T78" s="17"/>
      <c r="U78" s="2"/>
    </row>
    <row r="79" spans="2:21" x14ac:dyDescent="0.2">
      <c r="S79" s="1"/>
      <c r="T79" s="17"/>
      <c r="U79" s="2"/>
    </row>
    <row r="80" spans="2:21" x14ac:dyDescent="0.2">
      <c r="S80" s="1"/>
      <c r="T80" s="17"/>
      <c r="U80" s="2"/>
    </row>
    <row r="81" spans="19:21" x14ac:dyDescent="0.2">
      <c r="S81" s="1"/>
      <c r="T81" s="17"/>
      <c r="U81" s="2"/>
    </row>
    <row r="82" spans="19:21" x14ac:dyDescent="0.2">
      <c r="S82" s="1"/>
      <c r="T82" s="17"/>
      <c r="U82" s="2"/>
    </row>
    <row r="83" spans="19:21" x14ac:dyDescent="0.2">
      <c r="S83" s="1"/>
      <c r="T83" s="17"/>
      <c r="U83" s="2"/>
    </row>
    <row r="84" spans="19:21" x14ac:dyDescent="0.2">
      <c r="S84" s="1"/>
      <c r="T84" s="17"/>
      <c r="U84" s="2"/>
    </row>
    <row r="85" spans="19:21" x14ac:dyDescent="0.2">
      <c r="S85" s="1"/>
      <c r="T85" s="17"/>
      <c r="U85" s="2"/>
    </row>
    <row r="86" spans="19:21" x14ac:dyDescent="0.2">
      <c r="S86" s="1"/>
      <c r="T86" s="17"/>
      <c r="U86" s="2"/>
    </row>
    <row r="87" spans="19:21" x14ac:dyDescent="0.2">
      <c r="S87" s="1"/>
      <c r="T87" s="17"/>
      <c r="U87" s="2"/>
    </row>
    <row r="88" spans="19:21" x14ac:dyDescent="0.2">
      <c r="S88" s="1"/>
      <c r="T88" s="17"/>
      <c r="U88" s="2"/>
    </row>
    <row r="89" spans="19:21" x14ac:dyDescent="0.2">
      <c r="S89" s="1"/>
      <c r="T89" s="17"/>
      <c r="U89" s="2"/>
    </row>
    <row r="90" spans="19:21" x14ac:dyDescent="0.2">
      <c r="S90" s="1"/>
      <c r="T90" s="17"/>
      <c r="U90" s="2"/>
    </row>
    <row r="91" spans="19:21" x14ac:dyDescent="0.2">
      <c r="S91" s="1"/>
      <c r="T91" s="17"/>
      <c r="U91" s="2"/>
    </row>
    <row r="92" spans="19:21" x14ac:dyDescent="0.2">
      <c r="S92" s="1"/>
      <c r="T92" s="17"/>
      <c r="U92" s="2"/>
    </row>
    <row r="93" spans="19:21" x14ac:dyDescent="0.2">
      <c r="S93" s="1"/>
      <c r="T93" s="17"/>
      <c r="U93" s="2"/>
    </row>
    <row r="94" spans="19:21" x14ac:dyDescent="0.2">
      <c r="S94" s="1"/>
      <c r="T94" s="17"/>
      <c r="U94" s="2"/>
    </row>
    <row r="95" spans="19:21" x14ac:dyDescent="0.2">
      <c r="S95" s="1"/>
      <c r="T95" s="17"/>
      <c r="U95" s="2"/>
    </row>
    <row r="96" spans="19:21" x14ac:dyDescent="0.2">
      <c r="S96" s="1"/>
      <c r="T96" s="17"/>
      <c r="U96" s="2"/>
    </row>
    <row r="97" spans="19:25" x14ac:dyDescent="0.2">
      <c r="S97" s="1"/>
      <c r="T97" s="17"/>
      <c r="U97" s="2"/>
    </row>
    <row r="98" spans="19:25" x14ac:dyDescent="0.2">
      <c r="S98" s="1"/>
      <c r="T98" s="17"/>
      <c r="U98" s="2"/>
    </row>
    <row r="99" spans="19:25" x14ac:dyDescent="0.2">
      <c r="S99" s="1"/>
      <c r="T99" s="17"/>
      <c r="U99" s="2"/>
    </row>
    <row r="100" spans="19:25" x14ac:dyDescent="0.2">
      <c r="S100" s="1"/>
      <c r="T100" s="17"/>
      <c r="U100" s="2"/>
    </row>
    <row r="101" spans="19:25" x14ac:dyDescent="0.2">
      <c r="S101" s="1"/>
      <c r="T101" s="17"/>
      <c r="U101" s="2"/>
    </row>
    <row r="102" spans="19:25" x14ac:dyDescent="0.2">
      <c r="S102" s="1"/>
      <c r="T102" s="17"/>
      <c r="U102" s="2"/>
    </row>
    <row r="103" spans="19:25" x14ac:dyDescent="0.2">
      <c r="S103" s="1"/>
      <c r="T103" s="17"/>
      <c r="U103" s="2"/>
    </row>
    <row r="104" spans="19:25" x14ac:dyDescent="0.2">
      <c r="S104" s="1"/>
      <c r="T104" s="17"/>
      <c r="U104" s="2"/>
    </row>
    <row r="105" spans="19:25" x14ac:dyDescent="0.2">
      <c r="S105" s="1"/>
      <c r="T105" s="17"/>
      <c r="U105" s="2"/>
    </row>
    <row r="106" spans="19:25" x14ac:dyDescent="0.2">
      <c r="S106" s="1"/>
      <c r="T106" s="17"/>
      <c r="U106" s="2"/>
    </row>
    <row r="107" spans="19:25" x14ac:dyDescent="0.2">
      <c r="S107" s="1"/>
      <c r="T107" s="17"/>
      <c r="U107" s="2"/>
    </row>
    <row r="108" spans="19:25" x14ac:dyDescent="0.2">
      <c r="S108" s="1"/>
      <c r="T108" s="17"/>
      <c r="U108" s="2"/>
    </row>
    <row r="109" spans="19:25" x14ac:dyDescent="0.2">
      <c r="S109" s="1"/>
      <c r="T109" s="17"/>
      <c r="U109" s="2"/>
    </row>
    <row r="110" spans="19:25" x14ac:dyDescent="0.2">
      <c r="S110" s="1"/>
      <c r="T110" s="17"/>
      <c r="U110" s="2"/>
    </row>
    <row r="111" spans="19:25" x14ac:dyDescent="0.2">
      <c r="S111" s="1"/>
      <c r="T111" s="17"/>
      <c r="U111" s="2"/>
    </row>
    <row r="112" spans="19:25" x14ac:dyDescent="0.2">
      <c r="Y112" s="1"/>
    </row>
    <row r="113" spans="25:25" x14ac:dyDescent="0.2">
      <c r="Y113" s="1"/>
    </row>
    <row r="114" spans="25:25" x14ac:dyDescent="0.2">
      <c r="Y114" s="1"/>
    </row>
    <row r="115" spans="25:25" x14ac:dyDescent="0.2">
      <c r="Y115" s="1"/>
    </row>
    <row r="116" spans="25:25" x14ac:dyDescent="0.2">
      <c r="Y116" s="1"/>
    </row>
    <row r="117" spans="25:25" x14ac:dyDescent="0.2">
      <c r="Y117" s="1"/>
    </row>
    <row r="118" spans="25:25" x14ac:dyDescent="0.2">
      <c r="Y118" s="1"/>
    </row>
    <row r="119" spans="25:25" x14ac:dyDescent="0.2">
      <c r="Y119" s="1"/>
    </row>
    <row r="120" spans="25:25" x14ac:dyDescent="0.2">
      <c r="Y120" s="1"/>
    </row>
    <row r="121" spans="25:25" x14ac:dyDescent="0.2">
      <c r="Y121" s="1"/>
    </row>
    <row r="122" spans="25:25" x14ac:dyDescent="0.2">
      <c r="Y122" s="1"/>
    </row>
    <row r="123" spans="25:25" x14ac:dyDescent="0.2">
      <c r="Y123" s="1"/>
    </row>
    <row r="124" spans="25:25" x14ac:dyDescent="0.2">
      <c r="Y124" s="1"/>
    </row>
    <row r="125" spans="25:25" x14ac:dyDescent="0.2">
      <c r="Y125" s="1"/>
    </row>
    <row r="126" spans="25:25" x14ac:dyDescent="0.2">
      <c r="Y126" s="1"/>
    </row>
    <row r="127" spans="25:25" x14ac:dyDescent="0.2">
      <c r="Y127" s="1"/>
    </row>
    <row r="128" spans="25:25" x14ac:dyDescent="0.2">
      <c r="Y128" s="1"/>
    </row>
    <row r="129" spans="25:25" x14ac:dyDescent="0.2">
      <c r="Y129" s="1"/>
    </row>
    <row r="130" spans="25:25" x14ac:dyDescent="0.2">
      <c r="Y130" s="1"/>
    </row>
    <row r="131" spans="25:25" x14ac:dyDescent="0.2">
      <c r="Y131" s="1"/>
    </row>
    <row r="132" spans="25:25" x14ac:dyDescent="0.2">
      <c r="Y132" s="1"/>
    </row>
    <row r="133" spans="25:25" x14ac:dyDescent="0.2">
      <c r="Y133" s="1"/>
    </row>
    <row r="134" spans="25:25" x14ac:dyDescent="0.2">
      <c r="Y134" s="1"/>
    </row>
    <row r="135" spans="25:25" x14ac:dyDescent="0.2">
      <c r="Y135" s="1"/>
    </row>
    <row r="136" spans="25:25" x14ac:dyDescent="0.2">
      <c r="Y136" s="1"/>
    </row>
    <row r="137" spans="25:25" x14ac:dyDescent="0.2">
      <c r="Y137" s="1"/>
    </row>
    <row r="138" spans="25:25" x14ac:dyDescent="0.2">
      <c r="Y138" s="1"/>
    </row>
    <row r="139" spans="25:25" x14ac:dyDescent="0.2">
      <c r="Y139" s="1"/>
    </row>
    <row r="140" spans="25:25" x14ac:dyDescent="0.2">
      <c r="Y140" s="1"/>
    </row>
    <row r="141" spans="25:25" x14ac:dyDescent="0.2">
      <c r="Y141" s="1"/>
    </row>
    <row r="142" spans="25:25" x14ac:dyDescent="0.2">
      <c r="Y142" s="1"/>
    </row>
    <row r="143" spans="25:25" x14ac:dyDescent="0.2">
      <c r="Y143" s="1"/>
    </row>
    <row r="144" spans="25:25" x14ac:dyDescent="0.2">
      <c r="Y144" s="1"/>
    </row>
    <row r="145" spans="25:25" x14ac:dyDescent="0.2">
      <c r="Y145" s="1"/>
    </row>
    <row r="146" spans="25:25" x14ac:dyDescent="0.2">
      <c r="Y146" s="1"/>
    </row>
    <row r="147" spans="25:25" x14ac:dyDescent="0.2">
      <c r="Y147" s="1"/>
    </row>
    <row r="148" spans="25:25" x14ac:dyDescent="0.2">
      <c r="Y148" s="1"/>
    </row>
    <row r="149" spans="25:25" x14ac:dyDescent="0.2">
      <c r="Y149" s="1"/>
    </row>
    <row r="150" spans="25:25" x14ac:dyDescent="0.2">
      <c r="Y150" s="1"/>
    </row>
    <row r="151" spans="25:25" x14ac:dyDescent="0.2">
      <c r="Y151" s="1"/>
    </row>
    <row r="152" spans="25:25" x14ac:dyDescent="0.2">
      <c r="Y152" s="1"/>
    </row>
    <row r="153" spans="25:25" x14ac:dyDescent="0.2">
      <c r="Y153" s="1"/>
    </row>
    <row r="154" spans="25:25" x14ac:dyDescent="0.2">
      <c r="Y154" s="1"/>
    </row>
    <row r="155" spans="25:25" x14ac:dyDescent="0.2">
      <c r="Y155" s="1"/>
    </row>
    <row r="156" spans="25:25" x14ac:dyDescent="0.2">
      <c r="Y156" s="1"/>
    </row>
    <row r="157" spans="25:25" x14ac:dyDescent="0.2">
      <c r="Y157" s="1"/>
    </row>
    <row r="158" spans="25:25" x14ac:dyDescent="0.2">
      <c r="Y158" s="1"/>
    </row>
    <row r="159" spans="25:25" x14ac:dyDescent="0.2">
      <c r="Y159" s="1"/>
    </row>
    <row r="160" spans="25:25" x14ac:dyDescent="0.2">
      <c r="Y160" s="1"/>
    </row>
    <row r="161" spans="25:25" x14ac:dyDescent="0.2">
      <c r="Y161" s="1"/>
    </row>
    <row r="162" spans="25:25" x14ac:dyDescent="0.2">
      <c r="Y162" s="1"/>
    </row>
    <row r="163" spans="25:25" x14ac:dyDescent="0.2">
      <c r="Y163" s="1"/>
    </row>
    <row r="164" spans="25:25" x14ac:dyDescent="0.2">
      <c r="Y164" s="1"/>
    </row>
    <row r="165" spans="25:25" x14ac:dyDescent="0.2">
      <c r="Y165" s="1"/>
    </row>
    <row r="166" spans="25:25" x14ac:dyDescent="0.2">
      <c r="Y166" s="1"/>
    </row>
    <row r="167" spans="25:25" x14ac:dyDescent="0.2">
      <c r="Y167" s="1"/>
    </row>
    <row r="168" spans="25:25" x14ac:dyDescent="0.2">
      <c r="Y168" s="1"/>
    </row>
    <row r="169" spans="25:25" x14ac:dyDescent="0.2">
      <c r="Y169" s="1"/>
    </row>
    <row r="170" spans="25:25" x14ac:dyDescent="0.2">
      <c r="Y170" s="1"/>
    </row>
    <row r="171" spans="25:25" x14ac:dyDescent="0.2">
      <c r="Y171" s="1"/>
    </row>
    <row r="172" spans="25:25" x14ac:dyDescent="0.2">
      <c r="Y172" s="1"/>
    </row>
    <row r="173" spans="25:25" x14ac:dyDescent="0.2">
      <c r="Y173" s="1"/>
    </row>
    <row r="174" spans="25:25" x14ac:dyDescent="0.2">
      <c r="Y174" s="1"/>
    </row>
    <row r="175" spans="25:25" x14ac:dyDescent="0.2">
      <c r="Y175" s="1"/>
    </row>
    <row r="176" spans="25:25" x14ac:dyDescent="0.2">
      <c r="Y176" s="1"/>
    </row>
    <row r="177" spans="25:25" x14ac:dyDescent="0.2">
      <c r="Y177" s="1"/>
    </row>
    <row r="178" spans="25:25" x14ac:dyDescent="0.2">
      <c r="Y178" s="1"/>
    </row>
    <row r="179" spans="25:25" x14ac:dyDescent="0.2">
      <c r="Y179" s="1"/>
    </row>
    <row r="180" spans="25:25" x14ac:dyDescent="0.2">
      <c r="Y180" s="1"/>
    </row>
    <row r="181" spans="25:25" x14ac:dyDescent="0.2">
      <c r="Y181" s="1"/>
    </row>
    <row r="182" spans="25:25" x14ac:dyDescent="0.2">
      <c r="Y182" s="1"/>
    </row>
    <row r="183" spans="25:25" x14ac:dyDescent="0.2">
      <c r="Y183" s="1"/>
    </row>
    <row r="184" spans="25:25" x14ac:dyDescent="0.2">
      <c r="Y184" s="1"/>
    </row>
    <row r="185" spans="25:25" x14ac:dyDescent="0.2">
      <c r="Y185" s="1"/>
    </row>
    <row r="186" spans="25:25" x14ac:dyDescent="0.2">
      <c r="Y186" s="1"/>
    </row>
    <row r="187" spans="25:25" x14ac:dyDescent="0.2">
      <c r="Y187" s="1"/>
    </row>
    <row r="188" spans="25:25" x14ac:dyDescent="0.2">
      <c r="Y188" s="1"/>
    </row>
    <row r="189" spans="25:25" x14ac:dyDescent="0.2">
      <c r="Y189" s="1"/>
    </row>
    <row r="190" spans="25:25" x14ac:dyDescent="0.2">
      <c r="Y190" s="1"/>
    </row>
    <row r="191" spans="25:25" x14ac:dyDescent="0.2">
      <c r="Y191" s="1"/>
    </row>
    <row r="192" spans="25:25" x14ac:dyDescent="0.2">
      <c r="Y192" s="1"/>
    </row>
    <row r="193" spans="25:25" x14ac:dyDescent="0.2">
      <c r="Y193" s="1"/>
    </row>
    <row r="194" spans="25:25" x14ac:dyDescent="0.2">
      <c r="Y194" s="1"/>
    </row>
    <row r="195" spans="25:25" x14ac:dyDescent="0.2">
      <c r="Y195" s="1"/>
    </row>
    <row r="196" spans="25:25" x14ac:dyDescent="0.2">
      <c r="Y196" s="1"/>
    </row>
    <row r="197" spans="25:25" x14ac:dyDescent="0.2">
      <c r="Y197" s="1"/>
    </row>
    <row r="198" spans="25:25" x14ac:dyDescent="0.2">
      <c r="Y198" s="1"/>
    </row>
    <row r="199" spans="25:25" x14ac:dyDescent="0.2">
      <c r="Y199" s="1"/>
    </row>
    <row r="200" spans="25:25" x14ac:dyDescent="0.2">
      <c r="Y200" s="1"/>
    </row>
    <row r="201" spans="25:25" x14ac:dyDescent="0.2">
      <c r="Y201" s="1"/>
    </row>
    <row r="202" spans="25:25" x14ac:dyDescent="0.2">
      <c r="Y202" s="1"/>
    </row>
    <row r="203" spans="25:25" x14ac:dyDescent="0.2">
      <c r="Y203" s="1"/>
    </row>
    <row r="204" spans="25:25" x14ac:dyDescent="0.2">
      <c r="Y204" s="1"/>
    </row>
    <row r="205" spans="25:25" x14ac:dyDescent="0.2">
      <c r="Y205" s="1"/>
    </row>
    <row r="206" spans="25:25" x14ac:dyDescent="0.2">
      <c r="Y206" s="1"/>
    </row>
    <row r="207" spans="25:25" x14ac:dyDescent="0.2">
      <c r="Y207" s="1"/>
    </row>
    <row r="208" spans="25:25" x14ac:dyDescent="0.2">
      <c r="Y208" s="1"/>
    </row>
    <row r="209" spans="25:25" x14ac:dyDescent="0.2">
      <c r="Y209" s="1"/>
    </row>
    <row r="210" spans="25:25" x14ac:dyDescent="0.2">
      <c r="Y210" s="1"/>
    </row>
    <row r="211" spans="25:25" x14ac:dyDescent="0.2">
      <c r="Y211" s="1"/>
    </row>
    <row r="212" spans="25:25" x14ac:dyDescent="0.2">
      <c r="Y212" s="1"/>
    </row>
    <row r="213" spans="25:25" x14ac:dyDescent="0.2">
      <c r="Y213" s="1"/>
    </row>
    <row r="214" spans="25:25" x14ac:dyDescent="0.2">
      <c r="Y214" s="1"/>
    </row>
    <row r="215" spans="25:25" x14ac:dyDescent="0.2">
      <c r="Y215" s="1"/>
    </row>
    <row r="216" spans="25:25" x14ac:dyDescent="0.2">
      <c r="Y216" s="1"/>
    </row>
    <row r="217" spans="25:25" x14ac:dyDescent="0.2">
      <c r="Y217" s="1"/>
    </row>
    <row r="218" spans="25:25" x14ac:dyDescent="0.2">
      <c r="Y218" s="1"/>
    </row>
    <row r="219" spans="25:25" x14ac:dyDescent="0.2">
      <c r="Y219" s="1"/>
    </row>
    <row r="220" spans="25:25" x14ac:dyDescent="0.2">
      <c r="Y220" s="1"/>
    </row>
    <row r="221" spans="25:25" x14ac:dyDescent="0.2">
      <c r="Y221" s="1"/>
    </row>
    <row r="222" spans="25:25" x14ac:dyDescent="0.2">
      <c r="Y222" s="1"/>
    </row>
    <row r="223" spans="25:25" x14ac:dyDescent="0.2">
      <c r="Y223" s="1"/>
    </row>
    <row r="224" spans="25:25" x14ac:dyDescent="0.2">
      <c r="Y224" s="1"/>
    </row>
    <row r="225" spans="25:25" x14ac:dyDescent="0.2">
      <c r="Y225" s="1"/>
    </row>
    <row r="226" spans="25:25" x14ac:dyDescent="0.2">
      <c r="Y226" s="1"/>
    </row>
    <row r="227" spans="25:25" x14ac:dyDescent="0.2">
      <c r="Y227" s="1"/>
    </row>
    <row r="228" spans="25:25" x14ac:dyDescent="0.2">
      <c r="Y228" s="1"/>
    </row>
    <row r="229" spans="25:25" x14ac:dyDescent="0.2">
      <c r="Y229" s="1"/>
    </row>
    <row r="230" spans="25:25" x14ac:dyDescent="0.2">
      <c r="Y230" s="1"/>
    </row>
    <row r="231" spans="25:25" x14ac:dyDescent="0.2">
      <c r="Y231" s="1"/>
    </row>
    <row r="232" spans="25:25" x14ac:dyDescent="0.2">
      <c r="Y232" s="1"/>
    </row>
    <row r="233" spans="25:25" x14ac:dyDescent="0.2">
      <c r="Y233" s="1"/>
    </row>
    <row r="234" spans="25:25" x14ac:dyDescent="0.2">
      <c r="Y234" s="1"/>
    </row>
    <row r="235" spans="25:25" x14ac:dyDescent="0.2">
      <c r="Y235" s="1"/>
    </row>
    <row r="236" spans="25:25" x14ac:dyDescent="0.2">
      <c r="Y236" s="1"/>
    </row>
    <row r="237" spans="25:25" x14ac:dyDescent="0.2">
      <c r="Y237" s="1"/>
    </row>
    <row r="238" spans="25:25" x14ac:dyDescent="0.2">
      <c r="Y238" s="1"/>
    </row>
    <row r="239" spans="25:25" x14ac:dyDescent="0.2">
      <c r="Y239" s="1"/>
    </row>
    <row r="240" spans="25:25" x14ac:dyDescent="0.2">
      <c r="Y240" s="1"/>
    </row>
    <row r="241" spans="25:25" x14ac:dyDescent="0.2">
      <c r="Y241" s="1"/>
    </row>
    <row r="242" spans="25:25" x14ac:dyDescent="0.2">
      <c r="Y242" s="1"/>
    </row>
    <row r="243" spans="25:25" x14ac:dyDescent="0.2">
      <c r="Y243" s="1"/>
    </row>
    <row r="244" spans="25:25" x14ac:dyDescent="0.2">
      <c r="Y244" s="1"/>
    </row>
    <row r="245" spans="25:25" x14ac:dyDescent="0.2">
      <c r="Y245" s="1"/>
    </row>
    <row r="246" spans="25:25" x14ac:dyDescent="0.2">
      <c r="Y246" s="1"/>
    </row>
    <row r="247" spans="25:25" x14ac:dyDescent="0.2">
      <c r="Y247" s="1"/>
    </row>
    <row r="248" spans="25:25" x14ac:dyDescent="0.2">
      <c r="Y248" s="1"/>
    </row>
    <row r="249" spans="25:25" x14ac:dyDescent="0.2">
      <c r="Y249" s="1"/>
    </row>
    <row r="250" spans="25:25" x14ac:dyDescent="0.2">
      <c r="Y250" s="1"/>
    </row>
    <row r="251" spans="25:25" x14ac:dyDescent="0.2">
      <c r="Y251" s="1"/>
    </row>
    <row r="252" spans="25:25" x14ac:dyDescent="0.2">
      <c r="Y252" s="1"/>
    </row>
    <row r="253" spans="25:25" x14ac:dyDescent="0.2">
      <c r="Y253" s="1"/>
    </row>
    <row r="254" spans="25:25" x14ac:dyDescent="0.2">
      <c r="Y254" s="1"/>
    </row>
    <row r="255" spans="25:25" x14ac:dyDescent="0.2">
      <c r="Y255" s="1"/>
    </row>
    <row r="256" spans="25:25" x14ac:dyDescent="0.2">
      <c r="Y256" s="1"/>
    </row>
    <row r="257" spans="25:25" x14ac:dyDescent="0.2">
      <c r="Y257" s="1"/>
    </row>
    <row r="258" spans="25:25" x14ac:dyDescent="0.2">
      <c r="Y258" s="1"/>
    </row>
    <row r="259" spans="25:25" x14ac:dyDescent="0.2">
      <c r="Y259" s="1"/>
    </row>
    <row r="260" spans="25:25" x14ac:dyDescent="0.2">
      <c r="Y260" s="1"/>
    </row>
    <row r="261" spans="25:25" x14ac:dyDescent="0.2">
      <c r="Y261" s="1"/>
    </row>
    <row r="262" spans="25:25" x14ac:dyDescent="0.2">
      <c r="Y262" s="1"/>
    </row>
    <row r="263" spans="25:25" x14ac:dyDescent="0.2">
      <c r="Y263" s="1"/>
    </row>
    <row r="264" spans="25:25" x14ac:dyDescent="0.2">
      <c r="Y264" s="1"/>
    </row>
    <row r="265" spans="25:25" x14ac:dyDescent="0.2">
      <c r="Y265" s="1"/>
    </row>
    <row r="266" spans="25:25" x14ac:dyDescent="0.2">
      <c r="Y266" s="1"/>
    </row>
    <row r="267" spans="25:25" x14ac:dyDescent="0.2">
      <c r="Y267" s="1"/>
    </row>
    <row r="268" spans="25:25" x14ac:dyDescent="0.2">
      <c r="Y268" s="1"/>
    </row>
    <row r="269" spans="25:25" x14ac:dyDescent="0.2">
      <c r="Y269" s="1"/>
    </row>
    <row r="270" spans="25:25" x14ac:dyDescent="0.2">
      <c r="Y270" s="1"/>
    </row>
    <row r="271" spans="25:25" x14ac:dyDescent="0.2">
      <c r="Y271" s="1"/>
    </row>
    <row r="272" spans="25:25" x14ac:dyDescent="0.2">
      <c r="Y272" s="1"/>
    </row>
    <row r="273" spans="25:25" x14ac:dyDescent="0.2">
      <c r="Y273" s="1"/>
    </row>
    <row r="274" spans="25:25" x14ac:dyDescent="0.2">
      <c r="Y274" s="1"/>
    </row>
    <row r="275" spans="25:25" x14ac:dyDescent="0.2">
      <c r="Y275" s="1"/>
    </row>
    <row r="276" spans="25:25" x14ac:dyDescent="0.2">
      <c r="Y276" s="1"/>
    </row>
    <row r="277" spans="25:25" x14ac:dyDescent="0.2">
      <c r="Y277" s="1"/>
    </row>
    <row r="278" spans="25:25" x14ac:dyDescent="0.2">
      <c r="Y278" s="1"/>
    </row>
    <row r="279" spans="25:25" x14ac:dyDescent="0.2">
      <c r="Y279" s="1"/>
    </row>
    <row r="280" spans="25:25" x14ac:dyDescent="0.2">
      <c r="Y280" s="1"/>
    </row>
    <row r="281" spans="25:25" x14ac:dyDescent="0.2">
      <c r="Y281" s="1"/>
    </row>
    <row r="282" spans="25:25" x14ac:dyDescent="0.2">
      <c r="Y282" s="1"/>
    </row>
    <row r="283" spans="25:25" x14ac:dyDescent="0.2">
      <c r="Y283" s="1"/>
    </row>
    <row r="284" spans="25:25" x14ac:dyDescent="0.2">
      <c r="Y284" s="1"/>
    </row>
    <row r="285" spans="25:25" x14ac:dyDescent="0.2">
      <c r="Y285" s="1"/>
    </row>
    <row r="286" spans="25:25" x14ac:dyDescent="0.2">
      <c r="Y286" s="1"/>
    </row>
    <row r="287" spans="25:25" x14ac:dyDescent="0.2">
      <c r="Y287" s="1"/>
    </row>
    <row r="288" spans="25:25" x14ac:dyDescent="0.2">
      <c r="Y288" s="1"/>
    </row>
    <row r="289" spans="25:25" x14ac:dyDescent="0.2">
      <c r="Y289" s="1"/>
    </row>
    <row r="290" spans="25:25" x14ac:dyDescent="0.2">
      <c r="Y290" s="1"/>
    </row>
    <row r="291" spans="25:25" x14ac:dyDescent="0.2">
      <c r="Y291" s="1"/>
    </row>
    <row r="292" spans="25:25" x14ac:dyDescent="0.2">
      <c r="Y292" s="1"/>
    </row>
    <row r="293" spans="25:25" x14ac:dyDescent="0.2">
      <c r="Y293" s="1"/>
    </row>
    <row r="294" spans="25:25" x14ac:dyDescent="0.2">
      <c r="Y294" s="1"/>
    </row>
    <row r="295" spans="25:25" x14ac:dyDescent="0.2">
      <c r="Y295" s="1"/>
    </row>
    <row r="296" spans="25:25" x14ac:dyDescent="0.2">
      <c r="Y296" s="1"/>
    </row>
    <row r="297" spans="25:25" x14ac:dyDescent="0.2">
      <c r="Y297" s="1"/>
    </row>
    <row r="298" spans="25:25" x14ac:dyDescent="0.2">
      <c r="Y298" s="1"/>
    </row>
    <row r="299" spans="25:25" x14ac:dyDescent="0.2">
      <c r="Y299" s="1"/>
    </row>
    <row r="300" spans="25:25" x14ac:dyDescent="0.2">
      <c r="Y300" s="1"/>
    </row>
    <row r="301" spans="25:25" x14ac:dyDescent="0.2">
      <c r="Y301" s="1"/>
    </row>
    <row r="302" spans="25:25" x14ac:dyDescent="0.2">
      <c r="Y302" s="1"/>
    </row>
    <row r="303" spans="25:25" x14ac:dyDescent="0.2">
      <c r="Y303" s="1"/>
    </row>
    <row r="304" spans="25:25" x14ac:dyDescent="0.2">
      <c r="Y304" s="1"/>
    </row>
    <row r="305" spans="25:25" x14ac:dyDescent="0.2">
      <c r="Y305" s="1"/>
    </row>
    <row r="306" spans="25:25" x14ac:dyDescent="0.2">
      <c r="Y306" s="1"/>
    </row>
    <row r="307" spans="25:25" x14ac:dyDescent="0.2">
      <c r="Y307" s="1"/>
    </row>
    <row r="308" spans="25:25" x14ac:dyDescent="0.2">
      <c r="Y308" s="1"/>
    </row>
    <row r="309" spans="25:25" x14ac:dyDescent="0.2">
      <c r="Y309" s="1"/>
    </row>
    <row r="310" spans="25:25" x14ac:dyDescent="0.2">
      <c r="Y310" s="1"/>
    </row>
    <row r="311" spans="25:25" x14ac:dyDescent="0.2">
      <c r="Y311" s="1"/>
    </row>
    <row r="312" spans="25:25" x14ac:dyDescent="0.2">
      <c r="Y312" s="1"/>
    </row>
    <row r="313" spans="25:25" x14ac:dyDescent="0.2">
      <c r="Y313" s="1"/>
    </row>
    <row r="314" spans="25:25" x14ac:dyDescent="0.2">
      <c r="Y314" s="1"/>
    </row>
    <row r="315" spans="25:25" x14ac:dyDescent="0.2">
      <c r="Y315" s="1"/>
    </row>
    <row r="316" spans="25:25" x14ac:dyDescent="0.2">
      <c r="Y316" s="1"/>
    </row>
    <row r="317" spans="25:25" x14ac:dyDescent="0.2">
      <c r="Y317" s="1"/>
    </row>
    <row r="318" spans="25:25" x14ac:dyDescent="0.2">
      <c r="Y318" s="1"/>
    </row>
    <row r="319" spans="25:25" x14ac:dyDescent="0.2">
      <c r="Y319" s="1"/>
    </row>
    <row r="320" spans="25:25" x14ac:dyDescent="0.2">
      <c r="Y320" s="1"/>
    </row>
    <row r="321" spans="25:25" x14ac:dyDescent="0.2">
      <c r="Y321" s="1"/>
    </row>
    <row r="322" spans="25:25" x14ac:dyDescent="0.2">
      <c r="Y322" s="1"/>
    </row>
    <row r="323" spans="25:25" x14ac:dyDescent="0.2">
      <c r="Y323" s="1"/>
    </row>
    <row r="324" spans="25:25" x14ac:dyDescent="0.2">
      <c r="Y324" s="1"/>
    </row>
    <row r="325" spans="25:25" x14ac:dyDescent="0.2">
      <c r="Y325" s="1"/>
    </row>
    <row r="326" spans="25:25" x14ac:dyDescent="0.2">
      <c r="Y326" s="1"/>
    </row>
    <row r="327" spans="25:25" x14ac:dyDescent="0.2">
      <c r="Y327" s="1"/>
    </row>
    <row r="328" spans="25:25" x14ac:dyDescent="0.2">
      <c r="Y328" s="1"/>
    </row>
    <row r="329" spans="25:25" x14ac:dyDescent="0.2">
      <c r="Y329" s="1"/>
    </row>
    <row r="330" spans="25:25" x14ac:dyDescent="0.2">
      <c r="Y330" s="1"/>
    </row>
    <row r="331" spans="25:25" x14ac:dyDescent="0.2">
      <c r="Y331" s="1"/>
    </row>
    <row r="332" spans="25:25" x14ac:dyDescent="0.2">
      <c r="Y332" s="1"/>
    </row>
    <row r="333" spans="25:25" x14ac:dyDescent="0.2">
      <c r="Y333" s="1"/>
    </row>
    <row r="334" spans="25:25" x14ac:dyDescent="0.2">
      <c r="Y334" s="1"/>
    </row>
    <row r="335" spans="25:25" x14ac:dyDescent="0.2">
      <c r="Y335" s="1"/>
    </row>
    <row r="336" spans="25:25" x14ac:dyDescent="0.2">
      <c r="Y336" s="1"/>
    </row>
    <row r="337" spans="25:25" x14ac:dyDescent="0.2">
      <c r="Y337" s="1"/>
    </row>
    <row r="338" spans="25:25" x14ac:dyDescent="0.2">
      <c r="Y338" s="1"/>
    </row>
    <row r="339" spans="25:25" x14ac:dyDescent="0.2">
      <c r="Y339" s="1"/>
    </row>
    <row r="340" spans="25:25" x14ac:dyDescent="0.2">
      <c r="Y340" s="1"/>
    </row>
    <row r="341" spans="25:25" x14ac:dyDescent="0.2">
      <c r="Y341" s="1"/>
    </row>
    <row r="342" spans="25:25" x14ac:dyDescent="0.2">
      <c r="Y342" s="1"/>
    </row>
    <row r="343" spans="25:25" x14ac:dyDescent="0.2">
      <c r="Y343" s="1"/>
    </row>
    <row r="344" spans="25:25" x14ac:dyDescent="0.2">
      <c r="Y344" s="1"/>
    </row>
    <row r="345" spans="25:25" x14ac:dyDescent="0.2">
      <c r="Y345" s="1"/>
    </row>
    <row r="346" spans="25:25" x14ac:dyDescent="0.2">
      <c r="Y346" s="1"/>
    </row>
    <row r="347" spans="25:25" x14ac:dyDescent="0.2">
      <c r="Y347" s="1"/>
    </row>
    <row r="348" spans="25:25" x14ac:dyDescent="0.2">
      <c r="Y348" s="1"/>
    </row>
    <row r="349" spans="25:25" x14ac:dyDescent="0.2">
      <c r="Y349" s="1"/>
    </row>
    <row r="350" spans="25:25" x14ac:dyDescent="0.2">
      <c r="Y350" s="1"/>
    </row>
    <row r="351" spans="25:25" x14ac:dyDescent="0.2">
      <c r="Y351" s="1"/>
    </row>
    <row r="352" spans="25:25" x14ac:dyDescent="0.2">
      <c r="Y352" s="1"/>
    </row>
    <row r="353" spans="25:25" x14ac:dyDescent="0.2">
      <c r="Y353" s="1"/>
    </row>
    <row r="354" spans="25:25" x14ac:dyDescent="0.2">
      <c r="Y354" s="1"/>
    </row>
    <row r="355" spans="25:25" x14ac:dyDescent="0.2">
      <c r="Y355" s="1"/>
    </row>
    <row r="356" spans="25:25" x14ac:dyDescent="0.2">
      <c r="Y356" s="1"/>
    </row>
    <row r="357" spans="25:25" x14ac:dyDescent="0.2">
      <c r="Y357" s="1"/>
    </row>
    <row r="358" spans="25:25" x14ac:dyDescent="0.2">
      <c r="Y358" s="1"/>
    </row>
    <row r="359" spans="25:25" x14ac:dyDescent="0.2">
      <c r="Y359" s="1"/>
    </row>
    <row r="360" spans="25:25" x14ac:dyDescent="0.2">
      <c r="Y360" s="1"/>
    </row>
    <row r="361" spans="25:25" x14ac:dyDescent="0.2">
      <c r="Y361" s="1"/>
    </row>
    <row r="362" spans="25:25" x14ac:dyDescent="0.2">
      <c r="Y362" s="1"/>
    </row>
    <row r="363" spans="25:25" x14ac:dyDescent="0.2">
      <c r="Y363" s="1"/>
    </row>
    <row r="364" spans="25:25" x14ac:dyDescent="0.2">
      <c r="Y364" s="1"/>
    </row>
    <row r="365" spans="25:25" x14ac:dyDescent="0.2">
      <c r="Y365" s="1"/>
    </row>
    <row r="366" spans="25:25" x14ac:dyDescent="0.2">
      <c r="Y366" s="1"/>
    </row>
    <row r="367" spans="25:25" x14ac:dyDescent="0.2">
      <c r="Y367" s="1"/>
    </row>
    <row r="368" spans="25:25" x14ac:dyDescent="0.2">
      <c r="Y368" s="1"/>
    </row>
    <row r="369" spans="25:25" x14ac:dyDescent="0.2">
      <c r="Y369" s="1"/>
    </row>
    <row r="370" spans="25:25" x14ac:dyDescent="0.2">
      <c r="Y370" s="1"/>
    </row>
    <row r="371" spans="25:25" x14ac:dyDescent="0.2">
      <c r="Y371" s="1"/>
    </row>
    <row r="372" spans="25:25" x14ac:dyDescent="0.2">
      <c r="Y372" s="1"/>
    </row>
    <row r="373" spans="25:25" x14ac:dyDescent="0.2">
      <c r="Y373" s="1"/>
    </row>
    <row r="374" spans="25:25" x14ac:dyDescent="0.2">
      <c r="Y374" s="1"/>
    </row>
    <row r="375" spans="25:25" x14ac:dyDescent="0.2">
      <c r="Y375" s="1"/>
    </row>
    <row r="376" spans="25:25" x14ac:dyDescent="0.2">
      <c r="Y376" s="1"/>
    </row>
    <row r="377" spans="25:25" x14ac:dyDescent="0.2">
      <c r="Y377" s="1"/>
    </row>
    <row r="378" spans="25:25" x14ac:dyDescent="0.2">
      <c r="Y378" s="1"/>
    </row>
    <row r="379" spans="25:25" x14ac:dyDescent="0.2">
      <c r="Y379" s="1"/>
    </row>
    <row r="380" spans="25:25" x14ac:dyDescent="0.2">
      <c r="Y380" s="1"/>
    </row>
    <row r="381" spans="25:25" x14ac:dyDescent="0.2">
      <c r="Y381" s="1"/>
    </row>
    <row r="382" spans="25:25" x14ac:dyDescent="0.2">
      <c r="Y382" s="1"/>
    </row>
    <row r="383" spans="25:25" x14ac:dyDescent="0.2">
      <c r="Y383" s="1"/>
    </row>
    <row r="384" spans="25:25" x14ac:dyDescent="0.2">
      <c r="Y384" s="1"/>
    </row>
    <row r="385" spans="25:25" x14ac:dyDescent="0.2">
      <c r="Y385" s="1"/>
    </row>
    <row r="386" spans="25:25" x14ac:dyDescent="0.2">
      <c r="Y386" s="1"/>
    </row>
    <row r="387" spans="25:25" x14ac:dyDescent="0.2">
      <c r="Y387" s="1"/>
    </row>
    <row r="388" spans="25:25" x14ac:dyDescent="0.2">
      <c r="Y388" s="1"/>
    </row>
    <row r="389" spans="25:25" x14ac:dyDescent="0.2">
      <c r="Y389" s="1"/>
    </row>
    <row r="390" spans="25:25" x14ac:dyDescent="0.2">
      <c r="Y390" s="1"/>
    </row>
    <row r="391" spans="25:25" x14ac:dyDescent="0.2">
      <c r="Y391" s="1"/>
    </row>
    <row r="392" spans="25:25" x14ac:dyDescent="0.2">
      <c r="Y392" s="1"/>
    </row>
    <row r="393" spans="25:25" x14ac:dyDescent="0.2">
      <c r="Y393" s="1"/>
    </row>
    <row r="394" spans="25:25" x14ac:dyDescent="0.2">
      <c r="Y394" s="1"/>
    </row>
    <row r="395" spans="25:25" x14ac:dyDescent="0.2">
      <c r="Y395" s="1"/>
    </row>
    <row r="396" spans="25:25" x14ac:dyDescent="0.2">
      <c r="Y396" s="1"/>
    </row>
    <row r="397" spans="25:25" x14ac:dyDescent="0.2">
      <c r="Y397" s="1"/>
    </row>
    <row r="398" spans="25:25" x14ac:dyDescent="0.2">
      <c r="Y398" s="1"/>
    </row>
    <row r="399" spans="25:25" x14ac:dyDescent="0.2">
      <c r="Y399" s="1"/>
    </row>
    <row r="400" spans="25:25" x14ac:dyDescent="0.2">
      <c r="Y400" s="1"/>
    </row>
    <row r="401" spans="25:25" x14ac:dyDescent="0.2">
      <c r="Y401" s="1"/>
    </row>
    <row r="402" spans="25:25" x14ac:dyDescent="0.2">
      <c r="Y402" s="1"/>
    </row>
    <row r="403" spans="25:25" x14ac:dyDescent="0.2">
      <c r="Y403" s="1"/>
    </row>
    <row r="404" spans="25:25" x14ac:dyDescent="0.2">
      <c r="Y404" s="1"/>
    </row>
    <row r="405" spans="25:25" x14ac:dyDescent="0.2">
      <c r="Y405" s="1"/>
    </row>
    <row r="406" spans="25:25" x14ac:dyDescent="0.2">
      <c r="Y406" s="1"/>
    </row>
    <row r="407" spans="25:25" x14ac:dyDescent="0.2">
      <c r="Y407" s="1"/>
    </row>
    <row r="408" spans="25:25" x14ac:dyDescent="0.2">
      <c r="Y408" s="1"/>
    </row>
    <row r="409" spans="25:25" x14ac:dyDescent="0.2">
      <c r="Y409" s="1"/>
    </row>
    <row r="410" spans="25:25" x14ac:dyDescent="0.2">
      <c r="Y410" s="1"/>
    </row>
    <row r="411" spans="25:25" x14ac:dyDescent="0.2">
      <c r="Y411" s="1"/>
    </row>
    <row r="412" spans="25:25" x14ac:dyDescent="0.2">
      <c r="Y412" s="1"/>
    </row>
    <row r="413" spans="25:25" x14ac:dyDescent="0.2">
      <c r="Y413" s="1"/>
    </row>
    <row r="414" spans="25:25" x14ac:dyDescent="0.2">
      <c r="Y414" s="1"/>
    </row>
    <row r="415" spans="25:25" x14ac:dyDescent="0.2">
      <c r="Y415" s="1"/>
    </row>
    <row r="416" spans="25:25" x14ac:dyDescent="0.2">
      <c r="Y416" s="1"/>
    </row>
    <row r="417" spans="25:25" x14ac:dyDescent="0.2">
      <c r="Y417" s="1"/>
    </row>
    <row r="418" spans="25:25" x14ac:dyDescent="0.2">
      <c r="Y418" s="1"/>
    </row>
    <row r="419" spans="25:25" x14ac:dyDescent="0.2">
      <c r="Y419" s="1"/>
    </row>
    <row r="420" spans="25:25" x14ac:dyDescent="0.2">
      <c r="Y420" s="1"/>
    </row>
    <row r="421" spans="25:25" x14ac:dyDescent="0.2">
      <c r="Y421" s="1"/>
    </row>
    <row r="422" spans="25:25" x14ac:dyDescent="0.2">
      <c r="Y422" s="1"/>
    </row>
    <row r="423" spans="25:25" x14ac:dyDescent="0.2">
      <c r="Y423" s="1"/>
    </row>
    <row r="424" spans="25:25" x14ac:dyDescent="0.2">
      <c r="Y424" s="1"/>
    </row>
    <row r="425" spans="25:25" x14ac:dyDescent="0.2">
      <c r="Y425" s="1"/>
    </row>
    <row r="426" spans="25:25" x14ac:dyDescent="0.2">
      <c r="Y426" s="1"/>
    </row>
    <row r="427" spans="25:25" x14ac:dyDescent="0.2">
      <c r="Y427" s="1"/>
    </row>
    <row r="428" spans="25:25" x14ac:dyDescent="0.2">
      <c r="Y428" s="1"/>
    </row>
    <row r="429" spans="25:25" x14ac:dyDescent="0.2">
      <c r="Y429" s="1"/>
    </row>
    <row r="430" spans="25:25" x14ac:dyDescent="0.2">
      <c r="Y430" s="1"/>
    </row>
    <row r="431" spans="25:25" x14ac:dyDescent="0.2">
      <c r="Y431" s="1"/>
    </row>
    <row r="432" spans="25:25" x14ac:dyDescent="0.2">
      <c r="Y432" s="1"/>
    </row>
    <row r="433" spans="25:25" x14ac:dyDescent="0.2">
      <c r="Y433" s="1"/>
    </row>
    <row r="434" spans="25:25" x14ac:dyDescent="0.2">
      <c r="Y434" s="1"/>
    </row>
    <row r="435" spans="25:25" x14ac:dyDescent="0.2">
      <c r="Y435" s="1"/>
    </row>
    <row r="436" spans="25:25" x14ac:dyDescent="0.2">
      <c r="Y436" s="1"/>
    </row>
    <row r="437" spans="25:25" x14ac:dyDescent="0.2">
      <c r="Y437" s="1"/>
    </row>
    <row r="438" spans="25:25" x14ac:dyDescent="0.2">
      <c r="Y438" s="1"/>
    </row>
    <row r="439" spans="25:25" x14ac:dyDescent="0.2">
      <c r="Y439" s="1"/>
    </row>
    <row r="440" spans="25:25" x14ac:dyDescent="0.2">
      <c r="Y440" s="1"/>
    </row>
    <row r="441" spans="25:25" x14ac:dyDescent="0.2">
      <c r="Y441" s="1"/>
    </row>
    <row r="442" spans="25:25" x14ac:dyDescent="0.2">
      <c r="Y442" s="1"/>
    </row>
    <row r="443" spans="25:25" x14ac:dyDescent="0.2">
      <c r="Y443" s="1"/>
    </row>
    <row r="444" spans="25:25" x14ac:dyDescent="0.2">
      <c r="Y444" s="1"/>
    </row>
    <row r="445" spans="25:25" x14ac:dyDescent="0.2">
      <c r="Y445" s="1"/>
    </row>
    <row r="446" spans="25:25" x14ac:dyDescent="0.2">
      <c r="Y446" s="1"/>
    </row>
    <row r="447" spans="25:25" x14ac:dyDescent="0.2">
      <c r="Y447" s="1"/>
    </row>
    <row r="448" spans="25:25" x14ac:dyDescent="0.2">
      <c r="Y448" s="1"/>
    </row>
    <row r="449" spans="25:25" x14ac:dyDescent="0.2">
      <c r="Y449" s="1"/>
    </row>
    <row r="450" spans="25:25" x14ac:dyDescent="0.2">
      <c r="Y450" s="1"/>
    </row>
    <row r="451" spans="25:25" x14ac:dyDescent="0.2">
      <c r="Y451" s="1"/>
    </row>
    <row r="452" spans="25:25" x14ac:dyDescent="0.2">
      <c r="Y452" s="1"/>
    </row>
    <row r="453" spans="25:25" x14ac:dyDescent="0.2">
      <c r="Y453" s="1"/>
    </row>
    <row r="454" spans="25:25" x14ac:dyDescent="0.2">
      <c r="Y454" s="1"/>
    </row>
    <row r="455" spans="25:25" x14ac:dyDescent="0.2">
      <c r="Y455" s="1"/>
    </row>
    <row r="456" spans="25:25" x14ac:dyDescent="0.2">
      <c r="Y456" s="1"/>
    </row>
    <row r="457" spans="25:25" x14ac:dyDescent="0.2">
      <c r="Y457" s="1"/>
    </row>
    <row r="458" spans="25:25" x14ac:dyDescent="0.2">
      <c r="Y458" s="1"/>
    </row>
    <row r="459" spans="25:25" x14ac:dyDescent="0.2">
      <c r="Y459" s="1"/>
    </row>
    <row r="460" spans="25:25" x14ac:dyDescent="0.2">
      <c r="Y460" s="1"/>
    </row>
    <row r="461" spans="25:25" x14ac:dyDescent="0.2">
      <c r="Y461" s="1"/>
    </row>
    <row r="462" spans="25:25" x14ac:dyDescent="0.2">
      <c r="Y462" s="1"/>
    </row>
    <row r="463" spans="25:25" x14ac:dyDescent="0.2">
      <c r="Y463" s="1"/>
    </row>
    <row r="464" spans="25:25" x14ac:dyDescent="0.2">
      <c r="Y464" s="1"/>
    </row>
    <row r="465" spans="25:25" x14ac:dyDescent="0.2">
      <c r="Y465" s="1"/>
    </row>
    <row r="466" spans="25:25" x14ac:dyDescent="0.2">
      <c r="Y466" s="1"/>
    </row>
    <row r="467" spans="25:25" x14ac:dyDescent="0.2">
      <c r="Y467" s="1"/>
    </row>
    <row r="468" spans="25:25" x14ac:dyDescent="0.2">
      <c r="Y468" s="1"/>
    </row>
    <row r="469" spans="25:25" x14ac:dyDescent="0.2">
      <c r="Y469" s="1"/>
    </row>
    <row r="470" spans="25:25" x14ac:dyDescent="0.2">
      <c r="Y470" s="1"/>
    </row>
    <row r="471" spans="25:25" x14ac:dyDescent="0.2">
      <c r="Y471" s="1"/>
    </row>
    <row r="472" spans="25:25" x14ac:dyDescent="0.2">
      <c r="Y472" s="1"/>
    </row>
    <row r="473" spans="25:25" x14ac:dyDescent="0.2">
      <c r="Y473" s="1"/>
    </row>
    <row r="474" spans="25:25" x14ac:dyDescent="0.2">
      <c r="Y474" s="1"/>
    </row>
    <row r="475" spans="25:25" x14ac:dyDescent="0.2">
      <c r="Y475" s="1"/>
    </row>
    <row r="476" spans="25:25" x14ac:dyDescent="0.2">
      <c r="Y476" s="1"/>
    </row>
    <row r="477" spans="25:25" x14ac:dyDescent="0.2">
      <c r="Y477" s="1"/>
    </row>
    <row r="478" spans="25:25" x14ac:dyDescent="0.2">
      <c r="Y478" s="1"/>
    </row>
    <row r="479" spans="25:25" x14ac:dyDescent="0.2">
      <c r="Y479" s="1"/>
    </row>
    <row r="480" spans="25:25" x14ac:dyDescent="0.2">
      <c r="Y480" s="1"/>
    </row>
    <row r="481" spans="25:25" x14ac:dyDescent="0.2">
      <c r="Y481" s="1"/>
    </row>
    <row r="482" spans="25:25" x14ac:dyDescent="0.2">
      <c r="Y482" s="1"/>
    </row>
    <row r="483" spans="25:25" x14ac:dyDescent="0.2">
      <c r="Y483" s="1"/>
    </row>
    <row r="484" spans="25:25" x14ac:dyDescent="0.2">
      <c r="Y484" s="1"/>
    </row>
    <row r="485" spans="25:25" x14ac:dyDescent="0.2">
      <c r="Y485" s="1"/>
    </row>
    <row r="486" spans="25:25" x14ac:dyDescent="0.2">
      <c r="Y486" s="1"/>
    </row>
    <row r="487" spans="25:25" x14ac:dyDescent="0.2">
      <c r="Y487" s="1"/>
    </row>
    <row r="488" spans="25:25" x14ac:dyDescent="0.2">
      <c r="Y488" s="1"/>
    </row>
    <row r="489" spans="25:25" x14ac:dyDescent="0.2">
      <c r="Y489" s="1"/>
    </row>
    <row r="490" spans="25:25" x14ac:dyDescent="0.2">
      <c r="Y490" s="1"/>
    </row>
    <row r="491" spans="25:25" x14ac:dyDescent="0.2">
      <c r="Y491" s="1"/>
    </row>
    <row r="492" spans="25:25" x14ac:dyDescent="0.2">
      <c r="Y492" s="1"/>
    </row>
    <row r="493" spans="25:25" x14ac:dyDescent="0.2">
      <c r="Y493" s="1"/>
    </row>
    <row r="494" spans="25:25" x14ac:dyDescent="0.2">
      <c r="Y494" s="1"/>
    </row>
    <row r="495" spans="25:25" x14ac:dyDescent="0.2">
      <c r="Y495" s="1"/>
    </row>
    <row r="496" spans="25:25" x14ac:dyDescent="0.2">
      <c r="Y496" s="1"/>
    </row>
    <row r="497" spans="25:25" x14ac:dyDescent="0.2">
      <c r="Y497" s="1"/>
    </row>
    <row r="498" spans="25:25" x14ac:dyDescent="0.2">
      <c r="Y498" s="1"/>
    </row>
    <row r="499" spans="25:25" x14ac:dyDescent="0.2">
      <c r="Y499" s="1"/>
    </row>
    <row r="500" spans="25:25" x14ac:dyDescent="0.2">
      <c r="Y500" s="1"/>
    </row>
    <row r="501" spans="25:25" x14ac:dyDescent="0.2">
      <c r="Y501" s="1"/>
    </row>
    <row r="502" spans="25:25" x14ac:dyDescent="0.2">
      <c r="Y502" s="1"/>
    </row>
    <row r="503" spans="25:25" x14ac:dyDescent="0.2">
      <c r="Y503" s="1"/>
    </row>
    <row r="504" spans="25:25" x14ac:dyDescent="0.2">
      <c r="Y504" s="1"/>
    </row>
    <row r="505" spans="25:25" x14ac:dyDescent="0.2">
      <c r="Y505" s="1"/>
    </row>
    <row r="506" spans="25:25" x14ac:dyDescent="0.2">
      <c r="Y506" s="1"/>
    </row>
    <row r="507" spans="25:25" x14ac:dyDescent="0.2">
      <c r="Y507" s="1"/>
    </row>
    <row r="508" spans="25:25" x14ac:dyDescent="0.2">
      <c r="Y508" s="1"/>
    </row>
    <row r="509" spans="25:25" x14ac:dyDescent="0.2">
      <c r="Y509" s="1"/>
    </row>
    <row r="510" spans="25:25" x14ac:dyDescent="0.2">
      <c r="Y510" s="1"/>
    </row>
    <row r="511" spans="25:25" x14ac:dyDescent="0.2">
      <c r="Y511" s="1"/>
    </row>
    <row r="512" spans="25:25" x14ac:dyDescent="0.2">
      <c r="Y512" s="1"/>
    </row>
    <row r="513" spans="25:25" x14ac:dyDescent="0.2">
      <c r="Y513" s="1"/>
    </row>
    <row r="514" spans="25:25" x14ac:dyDescent="0.2">
      <c r="Y514" s="1"/>
    </row>
    <row r="515" spans="25:25" x14ac:dyDescent="0.2">
      <c r="Y515" s="1"/>
    </row>
    <row r="516" spans="25:25" x14ac:dyDescent="0.2">
      <c r="Y516" s="1"/>
    </row>
    <row r="517" spans="25:25" x14ac:dyDescent="0.2">
      <c r="Y517" s="1"/>
    </row>
    <row r="518" spans="25:25" x14ac:dyDescent="0.2">
      <c r="Y518" s="1"/>
    </row>
    <row r="519" spans="25:25" x14ac:dyDescent="0.2">
      <c r="Y519" s="1"/>
    </row>
    <row r="520" spans="25:25" x14ac:dyDescent="0.2">
      <c r="Y520" s="1"/>
    </row>
    <row r="521" spans="25:25" x14ac:dyDescent="0.2">
      <c r="Y521" s="1"/>
    </row>
    <row r="522" spans="25:25" x14ac:dyDescent="0.2">
      <c r="Y522" s="1"/>
    </row>
    <row r="523" spans="25:25" x14ac:dyDescent="0.2">
      <c r="Y523" s="1"/>
    </row>
    <row r="524" spans="25:25" x14ac:dyDescent="0.2">
      <c r="Y524" s="1"/>
    </row>
    <row r="525" spans="25:25" x14ac:dyDescent="0.2">
      <c r="Y525" s="1"/>
    </row>
    <row r="526" spans="25:25" x14ac:dyDescent="0.2">
      <c r="Y526" s="1"/>
    </row>
    <row r="527" spans="25:25" x14ac:dyDescent="0.2">
      <c r="Y527" s="1"/>
    </row>
    <row r="528" spans="25:25" x14ac:dyDescent="0.2">
      <c r="Y528" s="1"/>
    </row>
    <row r="529" spans="25:25" x14ac:dyDescent="0.2">
      <c r="Y529" s="1"/>
    </row>
    <row r="530" spans="25:25" x14ac:dyDescent="0.2">
      <c r="Y530" s="1"/>
    </row>
    <row r="531" spans="25:25" x14ac:dyDescent="0.2">
      <c r="Y531" s="1"/>
    </row>
    <row r="532" spans="25:25" x14ac:dyDescent="0.2">
      <c r="Y532" s="1"/>
    </row>
    <row r="533" spans="25:25" x14ac:dyDescent="0.2">
      <c r="Y533" s="1"/>
    </row>
    <row r="534" spans="25:25" x14ac:dyDescent="0.2">
      <c r="Y534" s="1"/>
    </row>
    <row r="535" spans="25:25" x14ac:dyDescent="0.2">
      <c r="Y535" s="1"/>
    </row>
    <row r="536" spans="25:25" x14ac:dyDescent="0.2">
      <c r="Y536" s="1"/>
    </row>
    <row r="537" spans="25:25" x14ac:dyDescent="0.2">
      <c r="Y537" s="1"/>
    </row>
    <row r="538" spans="25:25" x14ac:dyDescent="0.2">
      <c r="Y538" s="1"/>
    </row>
    <row r="539" spans="25:25" x14ac:dyDescent="0.2">
      <c r="Y539" s="1"/>
    </row>
    <row r="540" spans="25:25" x14ac:dyDescent="0.2">
      <c r="Y540" s="1"/>
    </row>
    <row r="541" spans="25:25" x14ac:dyDescent="0.2">
      <c r="Y541" s="1"/>
    </row>
    <row r="542" spans="25:25" x14ac:dyDescent="0.2">
      <c r="Y542" s="1"/>
    </row>
    <row r="543" spans="25:25" x14ac:dyDescent="0.2">
      <c r="Y543" s="1"/>
    </row>
    <row r="544" spans="25:25" x14ac:dyDescent="0.2">
      <c r="Y544" s="1"/>
    </row>
    <row r="545" spans="25:25" x14ac:dyDescent="0.2">
      <c r="Y545" s="1"/>
    </row>
    <row r="546" spans="25:25" x14ac:dyDescent="0.2">
      <c r="Y546" s="1"/>
    </row>
    <row r="547" spans="25:25" x14ac:dyDescent="0.2">
      <c r="Y547" s="1"/>
    </row>
    <row r="548" spans="25:25" x14ac:dyDescent="0.2">
      <c r="Y548" s="1"/>
    </row>
    <row r="549" spans="25:25" x14ac:dyDescent="0.2">
      <c r="Y549" s="1"/>
    </row>
    <row r="550" spans="25:25" x14ac:dyDescent="0.2">
      <c r="Y550" s="1"/>
    </row>
    <row r="551" spans="25:25" x14ac:dyDescent="0.2">
      <c r="Y551" s="1"/>
    </row>
    <row r="552" spans="25:25" x14ac:dyDescent="0.2">
      <c r="Y552" s="1"/>
    </row>
    <row r="553" spans="25:25" x14ac:dyDescent="0.2">
      <c r="Y553" s="1"/>
    </row>
    <row r="554" spans="25:25" x14ac:dyDescent="0.2">
      <c r="Y554" s="1"/>
    </row>
    <row r="555" spans="25:25" x14ac:dyDescent="0.2">
      <c r="Y555" s="1"/>
    </row>
    <row r="556" spans="25:25" x14ac:dyDescent="0.2">
      <c r="Y556" s="1"/>
    </row>
    <row r="557" spans="25:25" x14ac:dyDescent="0.2">
      <c r="Y557" s="1"/>
    </row>
    <row r="558" spans="25:25" x14ac:dyDescent="0.2">
      <c r="Y558" s="1"/>
    </row>
    <row r="559" spans="25:25" x14ac:dyDescent="0.2">
      <c r="Y559" s="1"/>
    </row>
    <row r="560" spans="25:25" x14ac:dyDescent="0.2">
      <c r="Y560" s="1"/>
    </row>
    <row r="561" spans="25:25" x14ac:dyDescent="0.2">
      <c r="Y561" s="1"/>
    </row>
    <row r="562" spans="25:25" x14ac:dyDescent="0.2">
      <c r="Y562" s="1"/>
    </row>
    <row r="563" spans="25:25" x14ac:dyDescent="0.2">
      <c r="Y563" s="1"/>
    </row>
    <row r="564" spans="25:25" x14ac:dyDescent="0.2">
      <c r="Y564" s="1"/>
    </row>
    <row r="565" spans="25:25" x14ac:dyDescent="0.2">
      <c r="Y565" s="1"/>
    </row>
    <row r="566" spans="25:25" x14ac:dyDescent="0.2">
      <c r="Y566" s="1"/>
    </row>
    <row r="567" spans="25:25" x14ac:dyDescent="0.2">
      <c r="Y567" s="1"/>
    </row>
    <row r="568" spans="25:25" x14ac:dyDescent="0.2">
      <c r="Y568" s="1"/>
    </row>
    <row r="569" spans="25:25" x14ac:dyDescent="0.2">
      <c r="Y569" s="1"/>
    </row>
    <row r="570" spans="25:25" x14ac:dyDescent="0.2">
      <c r="Y570" s="1"/>
    </row>
    <row r="571" spans="25:25" x14ac:dyDescent="0.2">
      <c r="Y571" s="1"/>
    </row>
    <row r="572" spans="25:25" x14ac:dyDescent="0.2">
      <c r="Y572" s="1"/>
    </row>
    <row r="573" spans="25:25" x14ac:dyDescent="0.2">
      <c r="Y573" s="1"/>
    </row>
    <row r="574" spans="25:25" x14ac:dyDescent="0.2">
      <c r="Y574" s="1"/>
    </row>
    <row r="575" spans="25:25" x14ac:dyDescent="0.2">
      <c r="Y575" s="1"/>
    </row>
    <row r="576" spans="25:25" x14ac:dyDescent="0.2">
      <c r="Y576" s="1"/>
    </row>
    <row r="577" spans="25:25" x14ac:dyDescent="0.2">
      <c r="Y577" s="1"/>
    </row>
    <row r="578" spans="25:25" x14ac:dyDescent="0.2">
      <c r="Y578" s="1"/>
    </row>
    <row r="579" spans="25:25" x14ac:dyDescent="0.2">
      <c r="Y579" s="1"/>
    </row>
    <row r="580" spans="25:25" x14ac:dyDescent="0.2">
      <c r="Y580" s="1"/>
    </row>
    <row r="581" spans="25:25" x14ac:dyDescent="0.2">
      <c r="Y581" s="1"/>
    </row>
    <row r="582" spans="25:25" x14ac:dyDescent="0.2">
      <c r="Y582" s="1"/>
    </row>
    <row r="583" spans="25:25" x14ac:dyDescent="0.2">
      <c r="Y583" s="1"/>
    </row>
    <row r="584" spans="25:25" x14ac:dyDescent="0.2">
      <c r="Y584" s="1"/>
    </row>
    <row r="585" spans="25:25" x14ac:dyDescent="0.2">
      <c r="Y585" s="1"/>
    </row>
    <row r="586" spans="25:25" x14ac:dyDescent="0.2">
      <c r="Y586" s="1"/>
    </row>
    <row r="587" spans="25:25" x14ac:dyDescent="0.2">
      <c r="Y587" s="1"/>
    </row>
    <row r="588" spans="25:25" x14ac:dyDescent="0.2">
      <c r="Y588" s="1"/>
    </row>
    <row r="589" spans="25:25" x14ac:dyDescent="0.2">
      <c r="Y589" s="1"/>
    </row>
    <row r="590" spans="25:25" x14ac:dyDescent="0.2">
      <c r="Y590" s="1"/>
    </row>
    <row r="591" spans="25:25" x14ac:dyDescent="0.2">
      <c r="Y591" s="1"/>
    </row>
    <row r="592" spans="25:25" x14ac:dyDescent="0.2">
      <c r="Y592" s="1"/>
    </row>
    <row r="593" spans="25:25" x14ac:dyDescent="0.2">
      <c r="Y593" s="1"/>
    </row>
    <row r="594" spans="25:25" x14ac:dyDescent="0.2">
      <c r="Y594" s="1"/>
    </row>
    <row r="595" spans="25:25" x14ac:dyDescent="0.2">
      <c r="Y595" s="1"/>
    </row>
    <row r="596" spans="25:25" x14ac:dyDescent="0.2">
      <c r="Y596" s="1"/>
    </row>
    <row r="597" spans="25:25" x14ac:dyDescent="0.2">
      <c r="Y597" s="1"/>
    </row>
    <row r="598" spans="25:25" x14ac:dyDescent="0.2">
      <c r="Y598" s="1"/>
    </row>
    <row r="599" spans="25:25" x14ac:dyDescent="0.2">
      <c r="Y599" s="1"/>
    </row>
    <row r="600" spans="25:25" x14ac:dyDescent="0.2">
      <c r="Y600" s="1"/>
    </row>
    <row r="601" spans="25:25" x14ac:dyDescent="0.2">
      <c r="Y601" s="1"/>
    </row>
    <row r="602" spans="25:25" x14ac:dyDescent="0.2">
      <c r="Y602" s="1"/>
    </row>
    <row r="603" spans="25:25" x14ac:dyDescent="0.2">
      <c r="Y603" s="1"/>
    </row>
    <row r="604" spans="25:25" x14ac:dyDescent="0.2">
      <c r="Y604" s="1"/>
    </row>
    <row r="605" spans="25:25" x14ac:dyDescent="0.2">
      <c r="Y605" s="1"/>
    </row>
    <row r="606" spans="25:25" x14ac:dyDescent="0.2">
      <c r="Y606" s="1"/>
    </row>
    <row r="607" spans="25:25" x14ac:dyDescent="0.2">
      <c r="Y607" s="1"/>
    </row>
    <row r="608" spans="25:25" x14ac:dyDescent="0.2">
      <c r="Y608" s="1"/>
    </row>
    <row r="609" spans="25:25" x14ac:dyDescent="0.2">
      <c r="Y609" s="1"/>
    </row>
    <row r="610" spans="25:25" x14ac:dyDescent="0.2">
      <c r="Y610" s="1"/>
    </row>
    <row r="611" spans="25:25" x14ac:dyDescent="0.2">
      <c r="Y611" s="1"/>
    </row>
    <row r="612" spans="25:25" x14ac:dyDescent="0.2">
      <c r="Y612" s="1"/>
    </row>
    <row r="613" spans="25:25" x14ac:dyDescent="0.2">
      <c r="Y613" s="1"/>
    </row>
    <row r="614" spans="25:25" x14ac:dyDescent="0.2">
      <c r="Y614" s="1"/>
    </row>
    <row r="615" spans="25:25" x14ac:dyDescent="0.2">
      <c r="Y615" s="1"/>
    </row>
    <row r="616" spans="25:25" x14ac:dyDescent="0.2">
      <c r="Y616" s="1"/>
    </row>
    <row r="617" spans="25:25" x14ac:dyDescent="0.2">
      <c r="Y617" s="1"/>
    </row>
    <row r="618" spans="25:25" x14ac:dyDescent="0.2">
      <c r="Y618" s="1"/>
    </row>
    <row r="619" spans="25:25" x14ac:dyDescent="0.2">
      <c r="Y619" s="1"/>
    </row>
    <row r="620" spans="25:25" x14ac:dyDescent="0.2">
      <c r="Y620" s="1"/>
    </row>
    <row r="621" spans="25:25" x14ac:dyDescent="0.2">
      <c r="Y621" s="1"/>
    </row>
    <row r="622" spans="25:25" x14ac:dyDescent="0.2">
      <c r="Y622" s="1"/>
    </row>
    <row r="623" spans="25:25" x14ac:dyDescent="0.2">
      <c r="Y623" s="1"/>
    </row>
    <row r="624" spans="25:25" x14ac:dyDescent="0.2">
      <c r="Y624" s="1"/>
    </row>
    <row r="625" spans="19:25" x14ac:dyDescent="0.2">
      <c r="Y625" s="1"/>
    </row>
    <row r="626" spans="19:25" x14ac:dyDescent="0.2">
      <c r="S626" s="1"/>
      <c r="T626" s="1"/>
      <c r="U626" s="1"/>
      <c r="V626" s="1"/>
      <c r="W626" s="1"/>
      <c r="X626" s="1"/>
    </row>
    <row r="627" spans="19:25" x14ac:dyDescent="0.2">
      <c r="S627" s="1"/>
      <c r="T627" s="1"/>
      <c r="U627" s="1"/>
      <c r="V627" s="1"/>
      <c r="W627" s="1"/>
      <c r="X627" s="1"/>
    </row>
    <row r="628" spans="19:25" x14ac:dyDescent="0.2">
      <c r="S628" s="1"/>
      <c r="T628" s="1"/>
      <c r="U628" s="1"/>
      <c r="V628" s="1"/>
      <c r="W628" s="1"/>
      <c r="X628" s="1"/>
    </row>
    <row r="629" spans="19:25" x14ac:dyDescent="0.2">
      <c r="S629" s="1"/>
      <c r="T629" s="1"/>
      <c r="U629" s="1"/>
      <c r="V629" s="1"/>
      <c r="W629" s="1"/>
      <c r="X629" s="1"/>
    </row>
    <row r="630" spans="19:25" x14ac:dyDescent="0.2">
      <c r="S630" s="1"/>
      <c r="T630" s="1"/>
      <c r="U630" s="1"/>
      <c r="V630" s="1"/>
      <c r="W630" s="1"/>
      <c r="X630" s="1"/>
    </row>
    <row r="631" spans="19:25" x14ac:dyDescent="0.2">
      <c r="S631" s="1"/>
      <c r="T631" s="1"/>
      <c r="U631" s="1"/>
      <c r="V631" s="1"/>
      <c r="W631" s="1"/>
      <c r="X631" s="1"/>
    </row>
    <row r="632" spans="19:25" x14ac:dyDescent="0.2">
      <c r="S632" s="1"/>
      <c r="T632" s="1"/>
      <c r="U632" s="1"/>
      <c r="V632" s="1"/>
      <c r="W632" s="1"/>
      <c r="X632" s="1"/>
    </row>
    <row r="633" spans="19:25" x14ac:dyDescent="0.2">
      <c r="S633" s="1"/>
      <c r="T633" s="1"/>
      <c r="U633" s="1"/>
      <c r="V633" s="1"/>
      <c r="W633" s="1"/>
      <c r="X633" s="1"/>
    </row>
    <row r="634" spans="19:25" x14ac:dyDescent="0.2">
      <c r="S634" s="1"/>
      <c r="T634" s="1"/>
      <c r="U634" s="1"/>
      <c r="V634" s="1"/>
      <c r="W634" s="1"/>
      <c r="X634" s="1"/>
    </row>
    <row r="635" spans="19:25" x14ac:dyDescent="0.2">
      <c r="S635" s="1"/>
      <c r="T635" s="1"/>
      <c r="U635" s="1"/>
      <c r="V635" s="1"/>
      <c r="W635" s="1"/>
      <c r="X635" s="1"/>
    </row>
    <row r="636" spans="19:25" x14ac:dyDescent="0.2">
      <c r="S636" s="1"/>
      <c r="T636" s="1"/>
      <c r="U636" s="1"/>
      <c r="V636" s="1"/>
      <c r="W636" s="1"/>
      <c r="X636" s="1"/>
    </row>
    <row r="637" spans="19:25" x14ac:dyDescent="0.2">
      <c r="S637" s="1"/>
      <c r="T637" s="1"/>
      <c r="U637" s="1"/>
      <c r="V637" s="1"/>
      <c r="W637" s="1"/>
      <c r="X637" s="1"/>
    </row>
    <row r="638" spans="19:25" x14ac:dyDescent="0.2">
      <c r="S638" s="1"/>
      <c r="T638" s="1"/>
      <c r="U638" s="1"/>
      <c r="V638" s="1"/>
      <c r="W638" s="1"/>
      <c r="X638" s="1"/>
    </row>
    <row r="639" spans="19:25" x14ac:dyDescent="0.2">
      <c r="S639" s="1"/>
      <c r="T639" s="1"/>
      <c r="U639" s="1"/>
      <c r="V639" s="1"/>
      <c r="W639" s="1"/>
      <c r="X639" s="1"/>
    </row>
    <row r="640" spans="19:25" x14ac:dyDescent="0.2">
      <c r="S640" s="1"/>
      <c r="T640" s="1"/>
      <c r="U640" s="1"/>
      <c r="V640" s="1"/>
      <c r="W640" s="1"/>
      <c r="X640" s="1"/>
    </row>
    <row r="641" spans="19:24" x14ac:dyDescent="0.2">
      <c r="S641" s="1"/>
      <c r="T641" s="1"/>
      <c r="U641" s="1"/>
      <c r="V641" s="1"/>
      <c r="W641" s="1"/>
      <c r="X641" s="1"/>
    </row>
    <row r="642" spans="19:24" x14ac:dyDescent="0.2">
      <c r="S642" s="1"/>
      <c r="T642" s="1"/>
      <c r="U642" s="1"/>
      <c r="V642" s="1"/>
      <c r="W642" s="1"/>
      <c r="X642" s="1"/>
    </row>
    <row r="643" spans="19:24" x14ac:dyDescent="0.2">
      <c r="S643" s="1"/>
      <c r="T643" s="1"/>
      <c r="U643" s="1"/>
      <c r="V643" s="1"/>
      <c r="W643" s="1"/>
      <c r="X643" s="1"/>
    </row>
    <row r="644" spans="19:24" x14ac:dyDescent="0.2">
      <c r="S644" s="1"/>
      <c r="T644" s="1"/>
      <c r="U644" s="1"/>
      <c r="V644" s="1"/>
      <c r="W644" s="1"/>
      <c r="X644" s="1"/>
    </row>
    <row r="645" spans="19:24" x14ac:dyDescent="0.2">
      <c r="S645" s="1"/>
      <c r="T645" s="1"/>
      <c r="U645" s="1"/>
      <c r="V645" s="1"/>
      <c r="W645" s="1"/>
      <c r="X645" s="1"/>
    </row>
    <row r="646" spans="19:24" x14ac:dyDescent="0.2">
      <c r="S646" s="1"/>
      <c r="T646" s="1"/>
      <c r="U646" s="1"/>
      <c r="V646" s="1"/>
      <c r="W646" s="1"/>
      <c r="X646" s="1"/>
    </row>
    <row r="647" spans="19:24" x14ac:dyDescent="0.2">
      <c r="S647" s="1"/>
      <c r="T647" s="1"/>
      <c r="U647" s="1"/>
      <c r="V647" s="1"/>
      <c r="W647" s="1"/>
      <c r="X647" s="1"/>
    </row>
    <row r="648" spans="19:24" x14ac:dyDescent="0.2">
      <c r="S648" s="1"/>
      <c r="T648" s="1"/>
      <c r="U648" s="1"/>
      <c r="V648" s="1"/>
      <c r="W648" s="1"/>
      <c r="X648" s="1"/>
    </row>
    <row r="649" spans="19:24" x14ac:dyDescent="0.2">
      <c r="S649" s="1"/>
      <c r="T649" s="1"/>
      <c r="U649" s="1"/>
      <c r="V649" s="1"/>
      <c r="W649" s="1"/>
      <c r="X649" s="1"/>
    </row>
    <row r="650" spans="19:24" x14ac:dyDescent="0.2">
      <c r="S650" s="1"/>
      <c r="T650" s="1"/>
      <c r="U650" s="1"/>
      <c r="V650" s="1"/>
      <c r="W650" s="1"/>
      <c r="X650" s="1"/>
    </row>
    <row r="651" spans="19:24" x14ac:dyDescent="0.2">
      <c r="S651" s="1"/>
      <c r="T651" s="1"/>
      <c r="U651" s="1"/>
      <c r="V651" s="1"/>
      <c r="W651" s="1"/>
      <c r="X651" s="1"/>
    </row>
    <row r="652" spans="19:24" x14ac:dyDescent="0.2">
      <c r="S652" s="1"/>
      <c r="T652" s="1"/>
      <c r="U652" s="1"/>
      <c r="V652" s="1"/>
      <c r="W652" s="1"/>
      <c r="X652" s="1"/>
    </row>
    <row r="653" spans="19:24" x14ac:dyDescent="0.2">
      <c r="S653" s="1"/>
      <c r="T653" s="1"/>
      <c r="U653" s="1"/>
      <c r="V653" s="1"/>
      <c r="W653" s="1"/>
      <c r="X653" s="1"/>
    </row>
    <row r="654" spans="19:24" x14ac:dyDescent="0.2">
      <c r="S654" s="1"/>
      <c r="T654" s="1"/>
      <c r="U654" s="1"/>
      <c r="V654" s="1"/>
      <c r="W654" s="1"/>
      <c r="X654" s="1"/>
    </row>
    <row r="655" spans="19:24" x14ac:dyDescent="0.2">
      <c r="S655" s="1"/>
      <c r="T655" s="1"/>
      <c r="U655" s="1"/>
      <c r="V655" s="1"/>
      <c r="W655" s="1"/>
      <c r="X655" s="1"/>
    </row>
    <row r="656" spans="19:24" x14ac:dyDescent="0.2">
      <c r="S656" s="1"/>
      <c r="T656" s="1"/>
      <c r="U656" s="1"/>
      <c r="V656" s="1"/>
      <c r="W656" s="1"/>
      <c r="X656" s="1"/>
    </row>
    <row r="657" spans="19:24" x14ac:dyDescent="0.2">
      <c r="S657" s="1"/>
      <c r="T657" s="1"/>
      <c r="U657" s="1"/>
      <c r="V657" s="1"/>
      <c r="W657" s="1"/>
      <c r="X657" s="1"/>
    </row>
    <row r="658" spans="19:24" x14ac:dyDescent="0.2">
      <c r="S658" s="1"/>
      <c r="T658" s="1"/>
      <c r="U658" s="1"/>
      <c r="V658" s="1"/>
      <c r="W658" s="1"/>
      <c r="X658" s="1"/>
    </row>
    <row r="659" spans="19:24" x14ac:dyDescent="0.2">
      <c r="S659" s="1"/>
      <c r="T659" s="1"/>
      <c r="U659" s="1"/>
      <c r="V659" s="1"/>
      <c r="W659" s="1"/>
      <c r="X659" s="1"/>
    </row>
    <row r="660" spans="19:24" x14ac:dyDescent="0.2">
      <c r="S660" s="1"/>
      <c r="T660" s="1"/>
      <c r="U660" s="1"/>
      <c r="V660" s="1"/>
      <c r="W660" s="1"/>
      <c r="X660" s="1"/>
    </row>
    <row r="661" spans="19:24" x14ac:dyDescent="0.2">
      <c r="S661" s="1"/>
      <c r="T661" s="1"/>
      <c r="U661" s="1"/>
      <c r="V661" s="1"/>
      <c r="W661" s="1"/>
      <c r="X661" s="1"/>
    </row>
    <row r="662" spans="19:24" x14ac:dyDescent="0.2">
      <c r="S662" s="1"/>
      <c r="T662" s="1"/>
      <c r="U662" s="1"/>
      <c r="V662" s="1"/>
      <c r="W662" s="1"/>
      <c r="X662" s="1"/>
    </row>
    <row r="663" spans="19:24" x14ac:dyDescent="0.2">
      <c r="S663" s="1"/>
      <c r="T663" s="1"/>
      <c r="U663" s="1"/>
      <c r="V663" s="1"/>
      <c r="W663" s="1"/>
      <c r="X663" s="1"/>
    </row>
    <row r="664" spans="19:24" x14ac:dyDescent="0.2">
      <c r="S664" s="1"/>
      <c r="T664" s="1"/>
      <c r="U664" s="1"/>
      <c r="V664" s="1"/>
      <c r="W664" s="1"/>
      <c r="X664" s="1"/>
    </row>
    <row r="665" spans="19:24" x14ac:dyDescent="0.2">
      <c r="S665" s="1"/>
      <c r="T665" s="1"/>
      <c r="U665" s="1"/>
      <c r="V665" s="1"/>
      <c r="W665" s="1"/>
      <c r="X665" s="1"/>
    </row>
    <row r="666" spans="19:24" x14ac:dyDescent="0.2">
      <c r="S666" s="1"/>
      <c r="T666" s="1"/>
      <c r="U666" s="1"/>
      <c r="V666" s="1"/>
      <c r="W666" s="1"/>
      <c r="X666" s="1"/>
    </row>
    <row r="667" spans="19:24" x14ac:dyDescent="0.2">
      <c r="S667" s="1"/>
      <c r="T667" s="1"/>
      <c r="U667" s="1"/>
      <c r="V667" s="1"/>
      <c r="W667" s="1"/>
      <c r="X667" s="1"/>
    </row>
    <row r="668" spans="19:24" x14ac:dyDescent="0.2">
      <c r="S668" s="1"/>
      <c r="T668" s="1"/>
      <c r="U668" s="1"/>
      <c r="V668" s="1"/>
      <c r="W668" s="1"/>
      <c r="X668" s="1"/>
    </row>
    <row r="669" spans="19:24" x14ac:dyDescent="0.2">
      <c r="S669" s="1"/>
      <c r="T669" s="1"/>
      <c r="U669" s="1"/>
      <c r="V669" s="1"/>
      <c r="W669" s="1"/>
      <c r="X669" s="1"/>
    </row>
    <row r="670" spans="19:24" x14ac:dyDescent="0.2">
      <c r="S670" s="1"/>
      <c r="T670" s="1"/>
      <c r="U670" s="1"/>
      <c r="V670" s="1"/>
      <c r="W670" s="1"/>
      <c r="X670" s="1"/>
    </row>
    <row r="671" spans="19:24" x14ac:dyDescent="0.2">
      <c r="S671" s="1"/>
      <c r="T671" s="1"/>
      <c r="U671" s="1"/>
      <c r="V671" s="1"/>
      <c r="W671" s="1"/>
      <c r="X671" s="1"/>
    </row>
    <row r="672" spans="19:24" x14ac:dyDescent="0.2">
      <c r="S672" s="1"/>
      <c r="T672" s="1"/>
      <c r="U672" s="1"/>
      <c r="V672" s="1"/>
      <c r="W672" s="1"/>
      <c r="X672" s="1"/>
    </row>
    <row r="673" spans="19:24" x14ac:dyDescent="0.2">
      <c r="S673" s="1"/>
      <c r="T673" s="1"/>
      <c r="U673" s="1"/>
      <c r="V673" s="1"/>
      <c r="W673" s="1"/>
      <c r="X673" s="1"/>
    </row>
    <row r="674" spans="19:24" x14ac:dyDescent="0.2">
      <c r="S674" s="1"/>
      <c r="T674" s="1"/>
      <c r="U674" s="1"/>
      <c r="V674" s="1"/>
      <c r="W674" s="1"/>
      <c r="X674" s="1"/>
    </row>
    <row r="675" spans="19:24" x14ac:dyDescent="0.2">
      <c r="S675" s="1"/>
      <c r="T675" s="1"/>
      <c r="U675" s="1"/>
      <c r="V675" s="1"/>
      <c r="W675" s="1"/>
      <c r="X675" s="1"/>
    </row>
    <row r="676" spans="19:24" x14ac:dyDescent="0.2">
      <c r="S676" s="1"/>
      <c r="T676" s="1"/>
      <c r="U676" s="1"/>
      <c r="V676" s="1"/>
      <c r="W676" s="1"/>
      <c r="X676" s="1"/>
    </row>
    <row r="677" spans="19:24" x14ac:dyDescent="0.2">
      <c r="S677" s="1"/>
      <c r="T677" s="1"/>
      <c r="U677" s="1"/>
      <c r="V677" s="1"/>
      <c r="W677" s="1"/>
      <c r="X677" s="1"/>
    </row>
    <row r="678" spans="19:24" x14ac:dyDescent="0.2">
      <c r="S678" s="1"/>
      <c r="T678" s="1"/>
      <c r="U678" s="1"/>
      <c r="V678" s="1"/>
      <c r="W678" s="1"/>
      <c r="X678" s="1"/>
    </row>
    <row r="679" spans="19:24" x14ac:dyDescent="0.2">
      <c r="S679" s="1"/>
      <c r="T679" s="1"/>
      <c r="U679" s="1"/>
      <c r="V679" s="1"/>
      <c r="W679" s="1"/>
      <c r="X679" s="1"/>
    </row>
    <row r="680" spans="19:24" x14ac:dyDescent="0.2">
      <c r="S680" s="1"/>
      <c r="T680" s="1"/>
      <c r="U680" s="1"/>
      <c r="V680" s="1"/>
      <c r="W680" s="1"/>
      <c r="X680" s="1"/>
    </row>
    <row r="681" spans="19:24" x14ac:dyDescent="0.2">
      <c r="S681" s="1"/>
      <c r="T681" s="1"/>
      <c r="U681" s="1"/>
      <c r="V681" s="1"/>
      <c r="W681" s="1"/>
      <c r="X681" s="1"/>
    </row>
    <row r="682" spans="19:24" x14ac:dyDescent="0.2">
      <c r="S682" s="1"/>
      <c r="T682" s="1"/>
      <c r="U682" s="1"/>
      <c r="V682" s="1"/>
      <c r="W682" s="1"/>
      <c r="X682" s="1"/>
    </row>
    <row r="683" spans="19:24" x14ac:dyDescent="0.2">
      <c r="S683" s="1"/>
      <c r="T683" s="1"/>
      <c r="U683" s="1"/>
      <c r="V683" s="1"/>
      <c r="W683" s="1"/>
      <c r="X683" s="1"/>
    </row>
    <row r="684" spans="19:24" x14ac:dyDescent="0.2">
      <c r="S684" s="1"/>
      <c r="T684" s="1"/>
      <c r="U684" s="1"/>
      <c r="V684" s="1"/>
      <c r="W684" s="1"/>
      <c r="X684" s="1"/>
    </row>
    <row r="685" spans="19:24" x14ac:dyDescent="0.2">
      <c r="S685" s="1"/>
      <c r="T685" s="1"/>
      <c r="U685" s="1"/>
      <c r="V685" s="1"/>
      <c r="W685" s="1"/>
      <c r="X685" s="1"/>
    </row>
    <row r="686" spans="19:24" x14ac:dyDescent="0.2">
      <c r="S686" s="1"/>
      <c r="T686" s="1"/>
      <c r="U686" s="1"/>
      <c r="V686" s="1"/>
      <c r="W686" s="1"/>
      <c r="X686" s="1"/>
    </row>
    <row r="687" spans="19:24" x14ac:dyDescent="0.2">
      <c r="S687" s="1"/>
      <c r="T687" s="1"/>
      <c r="U687" s="1"/>
      <c r="V687" s="1"/>
      <c r="W687" s="1"/>
      <c r="X687" s="1"/>
    </row>
    <row r="688" spans="19:24" x14ac:dyDescent="0.2">
      <c r="S688" s="1"/>
      <c r="T688" s="1"/>
      <c r="U688" s="1"/>
      <c r="V688" s="1"/>
      <c r="W688" s="1"/>
      <c r="X688" s="1"/>
    </row>
    <row r="689" spans="19:24" x14ac:dyDescent="0.2">
      <c r="S689" s="1"/>
      <c r="T689" s="1"/>
      <c r="U689" s="1"/>
      <c r="V689" s="1"/>
      <c r="W689" s="1"/>
      <c r="X689" s="1"/>
    </row>
    <row r="690" spans="19:24" x14ac:dyDescent="0.2">
      <c r="S690" s="1"/>
      <c r="T690" s="1"/>
      <c r="U690" s="1"/>
      <c r="V690" s="1"/>
      <c r="W690" s="1"/>
      <c r="X690" s="1"/>
    </row>
    <row r="691" spans="19:24" x14ac:dyDescent="0.2">
      <c r="S691" s="1"/>
      <c r="T691" s="1"/>
      <c r="U691" s="1"/>
      <c r="V691" s="1"/>
      <c r="W691" s="1"/>
      <c r="X691" s="1"/>
    </row>
    <row r="692" spans="19:24" x14ac:dyDescent="0.2">
      <c r="S692" s="1"/>
      <c r="T692" s="1"/>
      <c r="U692" s="1"/>
      <c r="V692" s="1"/>
      <c r="W692" s="1"/>
      <c r="X692" s="1"/>
    </row>
    <row r="693" spans="19:24" x14ac:dyDescent="0.2">
      <c r="S693" s="1"/>
      <c r="T693" s="1"/>
      <c r="U693" s="1"/>
      <c r="V693" s="1"/>
      <c r="W693" s="1"/>
      <c r="X693" s="1"/>
    </row>
    <row r="694" spans="19:24" x14ac:dyDescent="0.2">
      <c r="S694" s="1"/>
      <c r="T694" s="1"/>
      <c r="U694" s="1"/>
      <c r="V694" s="1"/>
      <c r="W694" s="1"/>
      <c r="X694" s="1"/>
    </row>
    <row r="695" spans="19:24" x14ac:dyDescent="0.2">
      <c r="S695" s="1"/>
      <c r="T695" s="1"/>
      <c r="U695" s="1"/>
      <c r="V695" s="1"/>
      <c r="W695" s="1"/>
      <c r="X695" s="1"/>
    </row>
    <row r="696" spans="19:24" x14ac:dyDescent="0.2">
      <c r="S696" s="1"/>
      <c r="T696" s="1"/>
      <c r="U696" s="1"/>
      <c r="V696" s="1"/>
      <c r="W696" s="1"/>
      <c r="X696" s="1"/>
    </row>
    <row r="697" spans="19:24" x14ac:dyDescent="0.2">
      <c r="S697" s="1"/>
      <c r="T697" s="1"/>
      <c r="U697" s="1"/>
      <c r="V697" s="1"/>
      <c r="W697" s="1"/>
      <c r="X697" s="1"/>
    </row>
    <row r="698" spans="19:24" x14ac:dyDescent="0.2">
      <c r="S698" s="1"/>
      <c r="T698" s="1"/>
      <c r="U698" s="1"/>
      <c r="V698" s="1"/>
      <c r="W698" s="1"/>
      <c r="X698" s="1"/>
    </row>
    <row r="699" spans="19:24" x14ac:dyDescent="0.2">
      <c r="S699" s="1"/>
      <c r="T699" s="1"/>
      <c r="U699" s="1"/>
      <c r="V699" s="1"/>
      <c r="W699" s="1"/>
      <c r="X699" s="1"/>
    </row>
    <row r="700" spans="19:24" x14ac:dyDescent="0.2">
      <c r="S700" s="1"/>
      <c r="T700" s="1"/>
      <c r="U700" s="1"/>
      <c r="V700" s="1"/>
      <c r="W700" s="1"/>
      <c r="X700" s="1"/>
    </row>
    <row r="701" spans="19:24" x14ac:dyDescent="0.2">
      <c r="S701" s="1"/>
      <c r="T701" s="1"/>
      <c r="U701" s="1"/>
      <c r="V701" s="1"/>
      <c r="W701" s="1"/>
      <c r="X701" s="1"/>
    </row>
    <row r="702" spans="19:24" x14ac:dyDescent="0.2">
      <c r="S702" s="1"/>
      <c r="T702" s="1"/>
      <c r="U702" s="1"/>
      <c r="V702" s="1"/>
      <c r="W702" s="1"/>
      <c r="X702" s="1"/>
    </row>
    <row r="703" spans="19:24" x14ac:dyDescent="0.2">
      <c r="S703" s="1"/>
      <c r="T703" s="1"/>
      <c r="U703" s="1"/>
      <c r="V703" s="1"/>
      <c r="W703" s="1"/>
      <c r="X703" s="1"/>
    </row>
    <row r="704" spans="19:24" x14ac:dyDescent="0.2">
      <c r="S704" s="1"/>
      <c r="T704" s="1"/>
      <c r="U704" s="1"/>
      <c r="V704" s="1"/>
      <c r="W704" s="1"/>
      <c r="X704" s="1"/>
    </row>
    <row r="705" spans="19:24" x14ac:dyDescent="0.2">
      <c r="S705" s="1"/>
      <c r="T705" s="1"/>
      <c r="U705" s="1"/>
      <c r="V705" s="1"/>
      <c r="W705" s="1"/>
      <c r="X705" s="1"/>
    </row>
    <row r="706" spans="19:24" x14ac:dyDescent="0.2">
      <c r="S706" s="1"/>
      <c r="T706" s="1"/>
      <c r="U706" s="1"/>
      <c r="V706" s="1"/>
      <c r="W706" s="1"/>
      <c r="X706" s="1"/>
    </row>
    <row r="707" spans="19:24" x14ac:dyDescent="0.2">
      <c r="S707" s="1"/>
      <c r="T707" s="1"/>
      <c r="U707" s="1"/>
      <c r="V707" s="1"/>
      <c r="W707" s="1"/>
      <c r="X707" s="1"/>
    </row>
    <row r="708" spans="19:24" x14ac:dyDescent="0.2">
      <c r="S708" s="1"/>
      <c r="T708" s="1"/>
      <c r="U708" s="1"/>
      <c r="V708" s="1"/>
      <c r="W708" s="1"/>
      <c r="X708" s="1"/>
    </row>
    <row r="709" spans="19:24" x14ac:dyDescent="0.2">
      <c r="S709" s="1"/>
      <c r="T709" s="1"/>
      <c r="U709" s="1"/>
      <c r="V709" s="1"/>
      <c r="W709" s="1"/>
      <c r="X709" s="1"/>
    </row>
    <row r="710" spans="19:24" x14ac:dyDescent="0.2">
      <c r="S710" s="1"/>
      <c r="T710" s="1"/>
      <c r="U710" s="1"/>
      <c r="V710" s="1"/>
      <c r="W710" s="1"/>
      <c r="X710" s="1"/>
    </row>
    <row r="711" spans="19:24" x14ac:dyDescent="0.2">
      <c r="S711" s="1"/>
      <c r="T711" s="1"/>
      <c r="U711" s="1"/>
      <c r="V711" s="1"/>
      <c r="W711" s="1"/>
      <c r="X711" s="1"/>
    </row>
    <row r="712" spans="19:24" x14ac:dyDescent="0.2">
      <c r="S712" s="1"/>
      <c r="T712" s="1"/>
      <c r="U712" s="1"/>
      <c r="V712" s="1"/>
      <c r="W712" s="1"/>
      <c r="X712" s="1"/>
    </row>
    <row r="713" spans="19:24" x14ac:dyDescent="0.2">
      <c r="S713" s="1"/>
      <c r="T713" s="1"/>
      <c r="U713" s="1"/>
      <c r="V713" s="1"/>
      <c r="W713" s="1"/>
      <c r="X713" s="1"/>
    </row>
    <row r="714" spans="19:24" x14ac:dyDescent="0.2">
      <c r="S714" s="1"/>
      <c r="T714" s="1"/>
      <c r="U714" s="1"/>
      <c r="V714" s="1"/>
      <c r="W714" s="1"/>
      <c r="X714" s="1"/>
    </row>
    <row r="715" spans="19:24" x14ac:dyDescent="0.2">
      <c r="S715" s="1"/>
      <c r="T715" s="1"/>
      <c r="U715" s="1"/>
      <c r="V715" s="1"/>
      <c r="W715" s="1"/>
      <c r="X715" s="1"/>
    </row>
    <row r="716" spans="19:24" x14ac:dyDescent="0.2">
      <c r="S716" s="1"/>
      <c r="T716" s="1"/>
      <c r="U716" s="1"/>
      <c r="V716" s="1"/>
      <c r="W716" s="1"/>
      <c r="X716" s="1"/>
    </row>
    <row r="717" spans="19:24" x14ac:dyDescent="0.2">
      <c r="S717" s="1"/>
      <c r="T717" s="1"/>
      <c r="U717" s="1"/>
      <c r="V717" s="1"/>
      <c r="W717" s="1"/>
      <c r="X717" s="1"/>
    </row>
    <row r="718" spans="19:24" x14ac:dyDescent="0.2">
      <c r="S718" s="1"/>
      <c r="T718" s="1"/>
      <c r="U718" s="1"/>
      <c r="V718" s="1"/>
      <c r="W718" s="1"/>
      <c r="X718" s="1"/>
    </row>
    <row r="719" spans="19:24" x14ac:dyDescent="0.2">
      <c r="S719" s="1"/>
      <c r="T719" s="1"/>
      <c r="U719" s="1"/>
      <c r="V719" s="1"/>
      <c r="W719" s="1"/>
      <c r="X719" s="1"/>
    </row>
    <row r="720" spans="19:24" x14ac:dyDescent="0.2">
      <c r="S720" s="1"/>
      <c r="T720" s="1"/>
      <c r="U720" s="1"/>
      <c r="V720" s="1"/>
      <c r="W720" s="1"/>
      <c r="X720" s="1"/>
    </row>
    <row r="721" spans="19:24" x14ac:dyDescent="0.2">
      <c r="S721" s="1"/>
      <c r="T721" s="1"/>
      <c r="U721" s="1"/>
      <c r="V721" s="1"/>
      <c r="W721" s="1"/>
      <c r="X721" s="1"/>
    </row>
    <row r="722" spans="19:24" x14ac:dyDescent="0.2">
      <c r="S722" s="1"/>
      <c r="T722" s="1"/>
      <c r="U722" s="1"/>
      <c r="V722" s="1"/>
      <c r="W722" s="1"/>
      <c r="X722" s="1"/>
    </row>
    <row r="723" spans="19:24" x14ac:dyDescent="0.2">
      <c r="S723" s="1"/>
      <c r="T723" s="1"/>
      <c r="U723" s="1"/>
      <c r="V723" s="1"/>
      <c r="W723" s="1"/>
      <c r="X723" s="1"/>
    </row>
    <row r="724" spans="19:24" x14ac:dyDescent="0.2">
      <c r="S724" s="1"/>
      <c r="T724" s="1"/>
      <c r="U724" s="1"/>
      <c r="V724" s="1"/>
      <c r="W724" s="1"/>
      <c r="X724" s="1"/>
    </row>
    <row r="725" spans="19:24" x14ac:dyDescent="0.2">
      <c r="S725" s="1"/>
      <c r="T725" s="1"/>
      <c r="U725" s="1"/>
      <c r="V725" s="1"/>
      <c r="W725" s="1"/>
      <c r="X725" s="1"/>
    </row>
    <row r="726" spans="19:24" x14ac:dyDescent="0.2">
      <c r="S726" s="1"/>
      <c r="T726" s="1"/>
      <c r="U726" s="1"/>
      <c r="V726" s="1"/>
      <c r="W726" s="1"/>
      <c r="X726" s="1"/>
    </row>
    <row r="727" spans="19:24" x14ac:dyDescent="0.2">
      <c r="S727" s="1"/>
      <c r="T727" s="1"/>
      <c r="U727" s="1"/>
      <c r="V727" s="1"/>
      <c r="W727" s="1"/>
      <c r="X727" s="1"/>
    </row>
    <row r="728" spans="19:24" x14ac:dyDescent="0.2">
      <c r="S728" s="1"/>
      <c r="T728" s="1"/>
      <c r="U728" s="1"/>
      <c r="V728" s="1"/>
      <c r="W728" s="1"/>
      <c r="X728" s="1"/>
    </row>
    <row r="729" spans="19:24" x14ac:dyDescent="0.2">
      <c r="S729" s="1"/>
      <c r="T729" s="1"/>
      <c r="U729" s="1"/>
      <c r="V729" s="1"/>
      <c r="W729" s="1"/>
      <c r="X729" s="1"/>
    </row>
    <row r="730" spans="19:24" x14ac:dyDescent="0.2">
      <c r="S730" s="1"/>
      <c r="T730" s="1"/>
      <c r="U730" s="1"/>
      <c r="V730" s="1"/>
      <c r="W730" s="1"/>
      <c r="X730" s="1"/>
    </row>
    <row r="731" spans="19:24" x14ac:dyDescent="0.2">
      <c r="S731" s="1"/>
      <c r="T731" s="1"/>
      <c r="U731" s="1"/>
      <c r="V731" s="1"/>
      <c r="W731" s="1"/>
      <c r="X731" s="1"/>
    </row>
    <row r="732" spans="19:24" x14ac:dyDescent="0.2">
      <c r="S732" s="1"/>
      <c r="T732" s="1"/>
      <c r="U732" s="1"/>
      <c r="V732" s="1"/>
      <c r="W732" s="1"/>
      <c r="X732" s="1"/>
    </row>
    <row r="733" spans="19:24" x14ac:dyDescent="0.2">
      <c r="S733" s="1"/>
      <c r="T733" s="1"/>
      <c r="U733" s="1"/>
      <c r="V733" s="1"/>
      <c r="W733" s="1"/>
      <c r="X733" s="1"/>
    </row>
    <row r="734" spans="19:24" x14ac:dyDescent="0.2">
      <c r="S734" s="1"/>
      <c r="T734" s="1"/>
      <c r="U734" s="1"/>
      <c r="V734" s="1"/>
      <c r="W734" s="1"/>
      <c r="X734" s="1"/>
    </row>
    <row r="735" spans="19:24" x14ac:dyDescent="0.2">
      <c r="S735" s="1"/>
      <c r="T735" s="1"/>
      <c r="U735" s="1"/>
      <c r="V735" s="1"/>
      <c r="W735" s="1"/>
      <c r="X735" s="1"/>
    </row>
    <row r="736" spans="19:24" x14ac:dyDescent="0.2">
      <c r="S736" s="1"/>
      <c r="T736" s="1"/>
      <c r="U736" s="1"/>
      <c r="V736" s="1"/>
      <c r="W736" s="1"/>
      <c r="X736" s="1"/>
    </row>
    <row r="737" spans="19:24" x14ac:dyDescent="0.2">
      <c r="S737" s="1"/>
      <c r="T737" s="1"/>
      <c r="U737" s="1"/>
      <c r="V737" s="1"/>
      <c r="W737" s="1"/>
      <c r="X737" s="1"/>
    </row>
    <row r="738" spans="19:24" x14ac:dyDescent="0.2">
      <c r="S738" s="1"/>
      <c r="T738" s="1"/>
      <c r="U738" s="1"/>
      <c r="V738" s="1"/>
      <c r="W738" s="1"/>
      <c r="X738" s="1"/>
    </row>
    <row r="739" spans="19:24" x14ac:dyDescent="0.2">
      <c r="S739" s="1"/>
      <c r="T739" s="1"/>
      <c r="U739" s="1"/>
      <c r="V739" s="1"/>
      <c r="W739" s="1"/>
      <c r="X739" s="1"/>
    </row>
    <row r="740" spans="19:24" x14ac:dyDescent="0.2">
      <c r="S740" s="1"/>
      <c r="T740" s="1"/>
      <c r="U740" s="1"/>
      <c r="V740" s="1"/>
      <c r="W740" s="1"/>
      <c r="X740" s="1"/>
    </row>
    <row r="741" spans="19:24" x14ac:dyDescent="0.2">
      <c r="S741" s="1"/>
      <c r="T741" s="1"/>
      <c r="U741" s="1"/>
      <c r="V741" s="1"/>
      <c r="W741" s="1"/>
      <c r="X741" s="1"/>
    </row>
    <row r="742" spans="19:24" x14ac:dyDescent="0.2">
      <c r="S742" s="1"/>
      <c r="T742" s="1"/>
      <c r="U742" s="1"/>
      <c r="V742" s="1"/>
      <c r="W742" s="1"/>
      <c r="X742" s="1"/>
    </row>
    <row r="743" spans="19:24" x14ac:dyDescent="0.2">
      <c r="S743" s="1"/>
      <c r="T743" s="1"/>
      <c r="U743" s="1"/>
      <c r="V743" s="1"/>
      <c r="W743" s="1"/>
      <c r="X743" s="1"/>
    </row>
    <row r="744" spans="19:24" x14ac:dyDescent="0.2">
      <c r="S744" s="1"/>
      <c r="T744" s="1"/>
      <c r="U744" s="1"/>
      <c r="V744" s="1"/>
      <c r="W744" s="1"/>
      <c r="X744" s="1"/>
    </row>
    <row r="745" spans="19:24" x14ac:dyDescent="0.2">
      <c r="S745" s="1"/>
      <c r="T745" s="1"/>
      <c r="U745" s="1"/>
      <c r="V745" s="1"/>
      <c r="W745" s="1"/>
      <c r="X745" s="1"/>
    </row>
    <row r="746" spans="19:24" x14ac:dyDescent="0.2">
      <c r="S746" s="1"/>
      <c r="T746" s="1"/>
      <c r="U746" s="1"/>
      <c r="V746" s="1"/>
      <c r="W746" s="1"/>
      <c r="X746" s="1"/>
    </row>
    <row r="747" spans="19:24" x14ac:dyDescent="0.2">
      <c r="S747" s="1"/>
      <c r="T747" s="1"/>
      <c r="U747" s="1"/>
      <c r="V747" s="1"/>
      <c r="W747" s="1"/>
      <c r="X747" s="1"/>
    </row>
    <row r="748" spans="19:24" x14ac:dyDescent="0.2">
      <c r="S748" s="1"/>
      <c r="T748" s="1"/>
      <c r="U748" s="1"/>
      <c r="V748" s="1"/>
      <c r="W748" s="1"/>
      <c r="X748" s="1"/>
    </row>
    <row r="749" spans="19:24" x14ac:dyDescent="0.2">
      <c r="S749" s="1"/>
      <c r="T749" s="1"/>
      <c r="U749" s="1"/>
      <c r="V749" s="1"/>
      <c r="W749" s="1"/>
      <c r="X749" s="1"/>
    </row>
    <row r="750" spans="19:24" x14ac:dyDescent="0.2">
      <c r="S750" s="1"/>
      <c r="T750" s="1"/>
      <c r="U750" s="1"/>
      <c r="V750" s="1"/>
      <c r="W750" s="1"/>
      <c r="X750" s="1"/>
    </row>
    <row r="751" spans="19:24" x14ac:dyDescent="0.2">
      <c r="S751" s="1"/>
      <c r="T751" s="1"/>
      <c r="U751" s="1"/>
      <c r="V751" s="1"/>
      <c r="W751" s="1"/>
      <c r="X751" s="1"/>
    </row>
    <row r="752" spans="19:24" x14ac:dyDescent="0.2">
      <c r="S752" s="1"/>
      <c r="T752" s="1"/>
      <c r="U752" s="1"/>
      <c r="V752" s="1"/>
      <c r="W752" s="1"/>
      <c r="X752" s="1"/>
    </row>
    <row r="753" spans="19:24" x14ac:dyDescent="0.2">
      <c r="S753" s="1"/>
      <c r="T753" s="1"/>
      <c r="U753" s="1"/>
      <c r="V753" s="1"/>
      <c r="W753" s="1"/>
      <c r="X753" s="1"/>
    </row>
    <row r="754" spans="19:24" x14ac:dyDescent="0.2">
      <c r="S754" s="1"/>
      <c r="T754" s="1"/>
      <c r="U754" s="1"/>
      <c r="V754" s="1"/>
      <c r="W754" s="1"/>
      <c r="X754" s="1"/>
    </row>
    <row r="755" spans="19:24" x14ac:dyDescent="0.2">
      <c r="S755" s="1"/>
      <c r="T755" s="1"/>
      <c r="U755" s="1"/>
      <c r="V755" s="1"/>
      <c r="W755" s="1"/>
      <c r="X755" s="1"/>
    </row>
    <row r="756" spans="19:24" x14ac:dyDescent="0.2">
      <c r="S756" s="1"/>
      <c r="T756" s="1"/>
      <c r="U756" s="1"/>
      <c r="V756" s="1"/>
      <c r="W756" s="1"/>
      <c r="X756" s="1"/>
    </row>
    <row r="757" spans="19:24" x14ac:dyDescent="0.2">
      <c r="S757" s="1"/>
      <c r="T757" s="1"/>
      <c r="U757" s="1"/>
      <c r="V757" s="1"/>
      <c r="W757" s="1"/>
      <c r="X757" s="1"/>
    </row>
    <row r="758" spans="19:24" x14ac:dyDescent="0.2">
      <c r="S758" s="1"/>
      <c r="T758" s="1"/>
      <c r="U758" s="1"/>
      <c r="V758" s="1"/>
      <c r="W758" s="1"/>
      <c r="X758" s="1"/>
    </row>
    <row r="759" spans="19:24" x14ac:dyDescent="0.2">
      <c r="S759" s="1"/>
      <c r="T759" s="1"/>
      <c r="U759" s="1"/>
      <c r="V759" s="1"/>
      <c r="W759" s="1"/>
      <c r="X759" s="1"/>
    </row>
    <row r="760" spans="19:24" x14ac:dyDescent="0.2">
      <c r="S760" s="1"/>
      <c r="T760" s="1"/>
      <c r="U760" s="1"/>
      <c r="V760" s="1"/>
      <c r="W760" s="1"/>
      <c r="X760" s="1"/>
    </row>
    <row r="761" spans="19:24" x14ac:dyDescent="0.2">
      <c r="S761" s="1"/>
      <c r="T761" s="1"/>
      <c r="U761" s="1"/>
      <c r="V761" s="1"/>
      <c r="W761" s="1"/>
      <c r="X761" s="1"/>
    </row>
    <row r="762" spans="19:24" x14ac:dyDescent="0.2">
      <c r="S762" s="1"/>
      <c r="T762" s="1"/>
      <c r="U762" s="1"/>
      <c r="V762" s="1"/>
      <c r="W762" s="1"/>
      <c r="X762" s="1"/>
    </row>
    <row r="763" spans="19:24" x14ac:dyDescent="0.2">
      <c r="S763" s="1"/>
      <c r="T763" s="1"/>
      <c r="U763" s="1"/>
      <c r="V763" s="1"/>
      <c r="W763" s="1"/>
      <c r="X763" s="1"/>
    </row>
    <row r="764" spans="19:24" x14ac:dyDescent="0.2">
      <c r="S764" s="1"/>
      <c r="T764" s="1"/>
      <c r="U764" s="1"/>
      <c r="V764" s="1"/>
      <c r="W764" s="1"/>
      <c r="X764" s="1"/>
    </row>
    <row r="765" spans="19:24" x14ac:dyDescent="0.2">
      <c r="S765" s="1"/>
      <c r="T765" s="1"/>
      <c r="U765" s="1"/>
      <c r="V765" s="1"/>
      <c r="W765" s="1"/>
      <c r="X765" s="1"/>
    </row>
    <row r="766" spans="19:24" x14ac:dyDescent="0.2">
      <c r="S766" s="1"/>
      <c r="T766" s="1"/>
      <c r="U766" s="1"/>
      <c r="V766" s="1"/>
      <c r="W766" s="1"/>
      <c r="X766" s="1"/>
    </row>
    <row r="767" spans="19:24" x14ac:dyDescent="0.2">
      <c r="S767" s="1"/>
      <c r="T767" s="1"/>
      <c r="U767" s="1"/>
      <c r="V767" s="1"/>
      <c r="W767" s="1"/>
      <c r="X767" s="1"/>
    </row>
    <row r="768" spans="19:24" x14ac:dyDescent="0.2">
      <c r="S768" s="1"/>
      <c r="T768" s="1"/>
      <c r="U768" s="1"/>
      <c r="V768" s="1"/>
      <c r="W768" s="1"/>
      <c r="X768" s="1"/>
    </row>
    <row r="769" spans="19:24" x14ac:dyDescent="0.2">
      <c r="S769" s="1"/>
      <c r="T769" s="1"/>
      <c r="U769" s="1"/>
      <c r="V769" s="1"/>
      <c r="W769" s="1"/>
      <c r="X769" s="1"/>
    </row>
    <row r="770" spans="19:24" x14ac:dyDescent="0.2">
      <c r="S770" s="1"/>
      <c r="T770" s="1"/>
      <c r="U770" s="1"/>
      <c r="V770" s="1"/>
      <c r="W770" s="1"/>
      <c r="X770" s="1"/>
    </row>
    <row r="771" spans="19:24" x14ac:dyDescent="0.2">
      <c r="S771" s="1"/>
      <c r="T771" s="1"/>
      <c r="U771" s="1"/>
      <c r="V771" s="1"/>
      <c r="W771" s="1"/>
      <c r="X771" s="1"/>
    </row>
    <row r="772" spans="19:24" x14ac:dyDescent="0.2">
      <c r="S772" s="1"/>
      <c r="T772" s="1"/>
      <c r="U772" s="1"/>
      <c r="V772" s="1"/>
      <c r="W772" s="1"/>
      <c r="X772" s="1"/>
    </row>
    <row r="773" spans="19:24" x14ac:dyDescent="0.2">
      <c r="S773" s="1"/>
      <c r="T773" s="1"/>
      <c r="U773" s="1"/>
      <c r="V773" s="1"/>
      <c r="W773" s="1"/>
      <c r="X773" s="1"/>
    </row>
    <row r="774" spans="19:24" x14ac:dyDescent="0.2">
      <c r="S774" s="1"/>
      <c r="T774" s="1"/>
      <c r="U774" s="1"/>
      <c r="V774" s="1"/>
      <c r="W774" s="1"/>
      <c r="X774" s="1"/>
    </row>
    <row r="775" spans="19:24" x14ac:dyDescent="0.2">
      <c r="S775" s="1"/>
      <c r="T775" s="1"/>
      <c r="U775" s="1"/>
      <c r="V775" s="1"/>
      <c r="W775" s="1"/>
      <c r="X775" s="1"/>
    </row>
    <row r="776" spans="19:24" x14ac:dyDescent="0.2">
      <c r="S776" s="1"/>
      <c r="T776" s="1"/>
      <c r="U776" s="1"/>
      <c r="V776" s="1"/>
      <c r="W776" s="1"/>
      <c r="X776" s="1"/>
    </row>
    <row r="777" spans="19:24" x14ac:dyDescent="0.2">
      <c r="S777" s="1"/>
      <c r="T777" s="1"/>
      <c r="U777" s="1"/>
      <c r="V777" s="1"/>
      <c r="W777" s="1"/>
      <c r="X777" s="1"/>
    </row>
    <row r="778" spans="19:24" x14ac:dyDescent="0.2">
      <c r="S778" s="1"/>
      <c r="T778" s="1"/>
      <c r="U778" s="1"/>
      <c r="V778" s="1"/>
      <c r="W778" s="1"/>
      <c r="X778" s="1"/>
    </row>
    <row r="779" spans="19:24" x14ac:dyDescent="0.2">
      <c r="S779" s="1"/>
      <c r="T779" s="1"/>
      <c r="U779" s="1"/>
      <c r="V779" s="1"/>
      <c r="W779" s="1"/>
      <c r="X779" s="1"/>
    </row>
    <row r="780" spans="19:24" x14ac:dyDescent="0.2">
      <c r="S780" s="1"/>
      <c r="T780" s="1"/>
      <c r="U780" s="1"/>
      <c r="V780" s="1"/>
      <c r="W780" s="1"/>
      <c r="X780" s="1"/>
    </row>
    <row r="781" spans="19:24" x14ac:dyDescent="0.2">
      <c r="S781" s="1"/>
      <c r="T781" s="1"/>
      <c r="U781" s="1"/>
      <c r="V781" s="1"/>
      <c r="W781" s="1"/>
      <c r="X781" s="1"/>
    </row>
    <row r="782" spans="19:24" x14ac:dyDescent="0.2">
      <c r="S782" s="1"/>
      <c r="T782" s="1"/>
      <c r="U782" s="1"/>
      <c r="V782" s="1"/>
      <c r="W782" s="1"/>
      <c r="X782" s="1"/>
    </row>
    <row r="783" spans="19:24" x14ac:dyDescent="0.2">
      <c r="S783" s="1"/>
      <c r="T783" s="1"/>
      <c r="U783" s="1"/>
      <c r="V783" s="1"/>
      <c r="W783" s="1"/>
      <c r="X783" s="1"/>
    </row>
    <row r="784" spans="19:24" x14ac:dyDescent="0.2">
      <c r="S784" s="1"/>
      <c r="T784" s="1"/>
      <c r="U784" s="1"/>
      <c r="V784" s="1"/>
      <c r="W784" s="1"/>
      <c r="X784" s="1"/>
    </row>
    <row r="785" spans="19:24" x14ac:dyDescent="0.2">
      <c r="S785" s="1"/>
      <c r="T785" s="1"/>
      <c r="U785" s="1"/>
      <c r="V785" s="1"/>
      <c r="W785" s="1"/>
      <c r="X785" s="1"/>
    </row>
    <row r="786" spans="19:24" x14ac:dyDescent="0.2">
      <c r="S786" s="1"/>
      <c r="T786" s="1"/>
      <c r="U786" s="1"/>
      <c r="V786" s="1"/>
      <c r="W786" s="1"/>
      <c r="X786" s="1"/>
    </row>
    <row r="787" spans="19:24" x14ac:dyDescent="0.2">
      <c r="S787" s="1"/>
      <c r="T787" s="1"/>
      <c r="U787" s="1"/>
      <c r="V787" s="1"/>
      <c r="W787" s="1"/>
      <c r="X787" s="1"/>
    </row>
    <row r="788" spans="19:24" x14ac:dyDescent="0.2">
      <c r="S788" s="1"/>
      <c r="T788" s="1"/>
      <c r="U788" s="1"/>
      <c r="V788" s="1"/>
      <c r="W788" s="1"/>
      <c r="X788" s="1"/>
    </row>
    <row r="789" spans="19:24" x14ac:dyDescent="0.2">
      <c r="S789" s="1"/>
      <c r="T789" s="1"/>
      <c r="U789" s="1"/>
      <c r="V789" s="1"/>
      <c r="W789" s="1"/>
      <c r="X789" s="1"/>
    </row>
    <row r="790" spans="19:24" x14ac:dyDescent="0.2">
      <c r="S790" s="1"/>
      <c r="T790" s="1"/>
      <c r="U790" s="1"/>
      <c r="V790" s="1"/>
      <c r="W790" s="1"/>
      <c r="X790" s="1"/>
    </row>
    <row r="791" spans="19:24" x14ac:dyDescent="0.2">
      <c r="S791" s="1"/>
      <c r="T791" s="1"/>
      <c r="U791" s="1"/>
      <c r="V791" s="1"/>
      <c r="W791" s="1"/>
      <c r="X791" s="1"/>
    </row>
    <row r="792" spans="19:24" x14ac:dyDescent="0.2">
      <c r="S792" s="1"/>
      <c r="T792" s="1"/>
      <c r="U792" s="1"/>
      <c r="V792" s="1"/>
      <c r="W792" s="1"/>
      <c r="X792" s="1"/>
    </row>
    <row r="793" spans="19:24" x14ac:dyDescent="0.2">
      <c r="S793" s="1"/>
      <c r="T793" s="1"/>
      <c r="U793" s="1"/>
      <c r="V793" s="1"/>
      <c r="W793" s="1"/>
      <c r="X793" s="1"/>
    </row>
    <row r="794" spans="19:24" x14ac:dyDescent="0.2">
      <c r="S794" s="1"/>
      <c r="T794" s="1"/>
      <c r="U794" s="1"/>
      <c r="V794" s="1"/>
      <c r="W794" s="1"/>
      <c r="X794" s="1"/>
    </row>
    <row r="795" spans="19:24" x14ac:dyDescent="0.2">
      <c r="S795" s="1"/>
      <c r="T795" s="1"/>
      <c r="U795" s="1"/>
      <c r="V795" s="1"/>
      <c r="W795" s="1"/>
      <c r="X795" s="1"/>
    </row>
    <row r="796" spans="19:24" x14ac:dyDescent="0.2">
      <c r="S796" s="1"/>
      <c r="T796" s="1"/>
      <c r="U796" s="1"/>
      <c r="V796" s="1"/>
      <c r="W796" s="1"/>
      <c r="X796" s="1"/>
    </row>
    <row r="797" spans="19:24" x14ac:dyDescent="0.2">
      <c r="S797" s="1"/>
      <c r="T797" s="1"/>
      <c r="U797" s="1"/>
      <c r="V797" s="1"/>
      <c r="W797" s="1"/>
      <c r="X797" s="1"/>
    </row>
    <row r="798" spans="19:24" x14ac:dyDescent="0.2">
      <c r="S798" s="1"/>
      <c r="T798" s="1"/>
      <c r="U798" s="1"/>
      <c r="V798" s="1"/>
      <c r="W798" s="1"/>
      <c r="X798" s="1"/>
    </row>
    <row r="799" spans="19:24" x14ac:dyDescent="0.2">
      <c r="S799" s="1"/>
      <c r="T799" s="1"/>
      <c r="U799" s="1"/>
      <c r="V799" s="1"/>
      <c r="W799" s="1"/>
      <c r="X799" s="1"/>
    </row>
    <row r="800" spans="19:24" x14ac:dyDescent="0.2">
      <c r="S800" s="1"/>
      <c r="T800" s="1"/>
      <c r="U800" s="1"/>
      <c r="V800" s="1"/>
      <c r="W800" s="1"/>
      <c r="X800" s="1"/>
    </row>
    <row r="801" spans="19:24" x14ac:dyDescent="0.2">
      <c r="S801" s="1"/>
      <c r="T801" s="1"/>
      <c r="U801" s="1"/>
      <c r="V801" s="1"/>
      <c r="W801" s="1"/>
      <c r="X801" s="1"/>
    </row>
    <row r="802" spans="19:24" x14ac:dyDescent="0.2">
      <c r="S802" s="1"/>
      <c r="T802" s="1"/>
      <c r="U802" s="1"/>
      <c r="V802" s="1"/>
      <c r="W802" s="1"/>
      <c r="X802" s="1"/>
    </row>
    <row r="803" spans="19:24" x14ac:dyDescent="0.2">
      <c r="S803" s="1"/>
      <c r="T803" s="1"/>
      <c r="U803" s="1"/>
      <c r="V803" s="1"/>
      <c r="W803" s="1"/>
      <c r="X803" s="1"/>
    </row>
    <row r="804" spans="19:24" x14ac:dyDescent="0.2">
      <c r="S804" s="1"/>
      <c r="T804" s="1"/>
      <c r="U804" s="1"/>
      <c r="V804" s="1"/>
      <c r="W804" s="1"/>
      <c r="X804" s="1"/>
    </row>
    <row r="805" spans="19:24" x14ac:dyDescent="0.2">
      <c r="S805" s="1"/>
      <c r="T805" s="1"/>
      <c r="U805" s="1"/>
      <c r="V805" s="1"/>
      <c r="W805" s="1"/>
      <c r="X805" s="1"/>
    </row>
    <row r="806" spans="19:24" x14ac:dyDescent="0.2">
      <c r="S806" s="1"/>
      <c r="T806" s="1"/>
      <c r="U806" s="1"/>
      <c r="V806" s="1"/>
      <c r="W806" s="1"/>
      <c r="X806" s="1"/>
    </row>
    <row r="807" spans="19:24" x14ac:dyDescent="0.2">
      <c r="S807" s="1"/>
      <c r="T807" s="1"/>
      <c r="U807" s="1"/>
      <c r="V807" s="1"/>
      <c r="W807" s="1"/>
      <c r="X807" s="1"/>
    </row>
    <row r="808" spans="19:24" x14ac:dyDescent="0.2">
      <c r="S808" s="1"/>
      <c r="T808" s="1"/>
      <c r="U808" s="1"/>
      <c r="V808" s="1"/>
      <c r="W808" s="1"/>
      <c r="X808" s="1"/>
    </row>
    <row r="809" spans="19:24" x14ac:dyDescent="0.2">
      <c r="S809" s="1"/>
      <c r="T809" s="1"/>
      <c r="U809" s="1"/>
      <c r="V809" s="1"/>
      <c r="W809" s="1"/>
      <c r="X809" s="1"/>
    </row>
    <row r="810" spans="19:24" x14ac:dyDescent="0.2">
      <c r="S810" s="1"/>
      <c r="T810" s="1"/>
      <c r="U810" s="1"/>
      <c r="V810" s="1"/>
      <c r="W810" s="1"/>
      <c r="X810" s="1"/>
    </row>
    <row r="811" spans="19:24" x14ac:dyDescent="0.2">
      <c r="S811" s="1"/>
      <c r="T811" s="1"/>
      <c r="U811" s="1"/>
      <c r="V811" s="1"/>
      <c r="W811" s="1"/>
      <c r="X811" s="1"/>
    </row>
    <row r="812" spans="19:24" x14ac:dyDescent="0.2">
      <c r="S812" s="1"/>
      <c r="T812" s="1"/>
      <c r="U812" s="1"/>
      <c r="V812" s="1"/>
      <c r="W812" s="1"/>
      <c r="X812" s="1"/>
    </row>
    <row r="813" spans="19:24" x14ac:dyDescent="0.2">
      <c r="S813" s="1"/>
      <c r="T813" s="1"/>
      <c r="U813" s="1"/>
      <c r="V813" s="1"/>
      <c r="W813" s="1"/>
      <c r="X813" s="1"/>
    </row>
    <row r="814" spans="19:24" x14ac:dyDescent="0.2">
      <c r="S814" s="1"/>
      <c r="T814" s="1"/>
      <c r="U814" s="1"/>
      <c r="V814" s="1"/>
      <c r="W814" s="1"/>
      <c r="X814" s="1"/>
    </row>
    <row r="815" spans="19:24" x14ac:dyDescent="0.2">
      <c r="S815" s="1"/>
      <c r="T815" s="1"/>
      <c r="U815" s="1"/>
      <c r="V815" s="1"/>
      <c r="W815" s="1"/>
      <c r="X815" s="1"/>
    </row>
    <row r="816" spans="19:24" x14ac:dyDescent="0.2">
      <c r="S816" s="1"/>
      <c r="T816" s="1"/>
      <c r="U816" s="1"/>
      <c r="V816" s="1"/>
      <c r="W816" s="1"/>
      <c r="X816" s="1"/>
    </row>
    <row r="817" spans="19:24" x14ac:dyDescent="0.2">
      <c r="S817" s="1"/>
      <c r="T817" s="1"/>
      <c r="U817" s="1"/>
      <c r="V817" s="1"/>
      <c r="W817" s="1"/>
      <c r="X817" s="1"/>
    </row>
    <row r="818" spans="19:24" x14ac:dyDescent="0.2">
      <c r="S818" s="1"/>
      <c r="T818" s="1"/>
      <c r="U818" s="1"/>
      <c r="V818" s="1"/>
      <c r="W818" s="1"/>
      <c r="X818" s="1"/>
    </row>
    <row r="819" spans="19:24" x14ac:dyDescent="0.2">
      <c r="S819" s="1"/>
      <c r="T819" s="1"/>
      <c r="U819" s="1"/>
      <c r="V819" s="1"/>
      <c r="W819" s="1"/>
      <c r="X819" s="1"/>
    </row>
    <row r="820" spans="19:24" x14ac:dyDescent="0.2">
      <c r="S820" s="1"/>
      <c r="T820" s="1"/>
      <c r="U820" s="1"/>
      <c r="V820" s="1"/>
      <c r="W820" s="1"/>
      <c r="X820" s="1"/>
    </row>
    <row r="821" spans="19:24" x14ac:dyDescent="0.2">
      <c r="S821" s="1"/>
      <c r="T821" s="1"/>
      <c r="U821" s="1"/>
      <c r="V821" s="1"/>
      <c r="W821" s="1"/>
      <c r="X821" s="1"/>
    </row>
    <row r="822" spans="19:24" x14ac:dyDescent="0.2">
      <c r="S822" s="1"/>
      <c r="T822" s="1"/>
      <c r="U822" s="1"/>
      <c r="V822" s="1"/>
      <c r="W822" s="1"/>
      <c r="X822" s="1"/>
    </row>
    <row r="823" spans="19:24" x14ac:dyDescent="0.2">
      <c r="S823" s="1"/>
      <c r="T823" s="1"/>
      <c r="U823" s="1"/>
      <c r="V823" s="1"/>
      <c r="W823" s="1"/>
      <c r="X823" s="1"/>
    </row>
    <row r="824" spans="19:24" x14ac:dyDescent="0.2">
      <c r="S824" s="1"/>
      <c r="T824" s="1"/>
      <c r="U824" s="1"/>
      <c r="V824" s="1"/>
      <c r="W824" s="1"/>
      <c r="X824" s="1"/>
    </row>
    <row r="825" spans="19:24" x14ac:dyDescent="0.2">
      <c r="S825" s="1"/>
      <c r="T825" s="1"/>
      <c r="U825" s="1"/>
      <c r="V825" s="1"/>
      <c r="W825" s="1"/>
      <c r="X825" s="1"/>
    </row>
    <row r="826" spans="19:24" x14ac:dyDescent="0.2">
      <c r="S826" s="1"/>
      <c r="T826" s="1"/>
      <c r="U826" s="1"/>
      <c r="V826" s="1"/>
      <c r="W826" s="1"/>
      <c r="X826" s="1"/>
    </row>
    <row r="827" spans="19:24" x14ac:dyDescent="0.2">
      <c r="S827" s="1"/>
      <c r="T827" s="1"/>
      <c r="U827" s="1"/>
      <c r="V827" s="1"/>
      <c r="W827" s="1"/>
      <c r="X827" s="1"/>
    </row>
    <row r="828" spans="19:24" x14ac:dyDescent="0.2">
      <c r="S828" s="1"/>
      <c r="T828" s="1"/>
      <c r="U828" s="1"/>
      <c r="V828" s="1"/>
      <c r="W828" s="1"/>
      <c r="X828" s="1"/>
    </row>
    <row r="829" spans="19:24" x14ac:dyDescent="0.2">
      <c r="S829" s="1"/>
      <c r="T829" s="1"/>
      <c r="U829" s="1"/>
      <c r="V829" s="1"/>
      <c r="W829" s="1"/>
      <c r="X829" s="1"/>
    </row>
    <row r="830" spans="19:24" x14ac:dyDescent="0.2">
      <c r="S830" s="1"/>
      <c r="T830" s="1"/>
      <c r="U830" s="1"/>
      <c r="V830" s="1"/>
      <c r="W830" s="1"/>
      <c r="X830" s="1"/>
    </row>
    <row r="831" spans="19:24" x14ac:dyDescent="0.2">
      <c r="S831" s="1"/>
      <c r="T831" s="1"/>
      <c r="U831" s="1"/>
      <c r="V831" s="1"/>
      <c r="W831" s="1"/>
      <c r="X831" s="1"/>
    </row>
    <row r="832" spans="19:24" x14ac:dyDescent="0.2">
      <c r="S832" s="1"/>
      <c r="T832" s="1"/>
      <c r="U832" s="1"/>
      <c r="V832" s="1"/>
      <c r="W832" s="1"/>
      <c r="X832" s="1"/>
    </row>
    <row r="833" spans="19:24" x14ac:dyDescent="0.2">
      <c r="S833" s="1"/>
      <c r="T833" s="1"/>
      <c r="U833" s="1"/>
      <c r="V833" s="1"/>
      <c r="W833" s="1"/>
      <c r="X833" s="1"/>
    </row>
    <row r="834" spans="19:24" x14ac:dyDescent="0.2">
      <c r="S834" s="1"/>
      <c r="T834" s="1"/>
      <c r="U834" s="1"/>
      <c r="V834" s="1"/>
      <c r="W834" s="1"/>
      <c r="X834" s="1"/>
    </row>
    <row r="835" spans="19:24" x14ac:dyDescent="0.2">
      <c r="S835" s="1"/>
      <c r="T835" s="1"/>
      <c r="U835" s="1"/>
      <c r="V835" s="1"/>
      <c r="W835" s="1"/>
      <c r="X835" s="1"/>
    </row>
    <row r="836" spans="19:24" x14ac:dyDescent="0.2">
      <c r="S836" s="1"/>
      <c r="T836" s="1"/>
      <c r="U836" s="1"/>
      <c r="V836" s="1"/>
      <c r="W836" s="1"/>
      <c r="X836" s="1"/>
    </row>
    <row r="837" spans="19:24" x14ac:dyDescent="0.2">
      <c r="S837" s="1"/>
      <c r="T837" s="1"/>
      <c r="U837" s="1"/>
      <c r="V837" s="1"/>
      <c r="W837" s="1"/>
      <c r="X837" s="1"/>
    </row>
    <row r="838" spans="19:24" x14ac:dyDescent="0.2">
      <c r="S838" s="1"/>
      <c r="T838" s="1"/>
      <c r="U838" s="1"/>
      <c r="V838" s="1"/>
      <c r="W838" s="1"/>
      <c r="X838" s="1"/>
    </row>
    <row r="839" spans="19:24" x14ac:dyDescent="0.2">
      <c r="S839" s="1"/>
      <c r="T839" s="1"/>
      <c r="U839" s="1"/>
      <c r="V839" s="1"/>
      <c r="W839" s="1"/>
      <c r="X839" s="1"/>
    </row>
    <row r="840" spans="19:24" x14ac:dyDescent="0.2">
      <c r="S840" s="1"/>
      <c r="T840" s="1"/>
      <c r="U840" s="1"/>
      <c r="V840" s="1"/>
      <c r="W840" s="1"/>
      <c r="X840" s="1"/>
    </row>
    <row r="841" spans="19:24" x14ac:dyDescent="0.2">
      <c r="S841" s="1"/>
      <c r="T841" s="1"/>
      <c r="U841" s="1"/>
      <c r="V841" s="1"/>
      <c r="W841" s="1"/>
      <c r="X841" s="1"/>
    </row>
    <row r="842" spans="19:24" x14ac:dyDescent="0.2">
      <c r="S842" s="1"/>
      <c r="T842" s="1"/>
      <c r="U842" s="1"/>
      <c r="V842" s="1"/>
      <c r="W842" s="1"/>
      <c r="X842" s="1"/>
    </row>
    <row r="843" spans="19:24" x14ac:dyDescent="0.2">
      <c r="S843" s="1"/>
      <c r="T843" s="1"/>
      <c r="U843" s="1"/>
      <c r="V843" s="1"/>
      <c r="W843" s="1"/>
      <c r="X843" s="1"/>
    </row>
    <row r="844" spans="19:24" x14ac:dyDescent="0.2">
      <c r="S844" s="1"/>
      <c r="T844" s="1"/>
      <c r="U844" s="1"/>
      <c r="V844" s="1"/>
      <c r="W844" s="1"/>
      <c r="X844" s="1"/>
    </row>
    <row r="845" spans="19:24" x14ac:dyDescent="0.2">
      <c r="S845" s="1"/>
      <c r="T845" s="1"/>
      <c r="U845" s="1"/>
      <c r="V845" s="1"/>
      <c r="W845" s="1"/>
      <c r="X845" s="1"/>
    </row>
    <row r="846" spans="19:24" x14ac:dyDescent="0.2">
      <c r="S846" s="1"/>
      <c r="T846" s="1"/>
      <c r="U846" s="1"/>
      <c r="V846" s="1"/>
      <c r="W846" s="1"/>
      <c r="X846" s="1"/>
    </row>
    <row r="847" spans="19:24" x14ac:dyDescent="0.2">
      <c r="S847" s="1"/>
      <c r="T847" s="1"/>
      <c r="U847" s="1"/>
      <c r="V847" s="1"/>
      <c r="W847" s="1"/>
      <c r="X847" s="1"/>
    </row>
    <row r="848" spans="19:24" x14ac:dyDescent="0.2">
      <c r="S848" s="1"/>
      <c r="T848" s="1"/>
      <c r="U848" s="1"/>
      <c r="V848" s="1"/>
      <c r="W848" s="1"/>
      <c r="X848" s="1"/>
    </row>
    <row r="849" spans="19:24" x14ac:dyDescent="0.2">
      <c r="S849" s="1"/>
      <c r="T849" s="1"/>
      <c r="U849" s="1"/>
      <c r="V849" s="1"/>
      <c r="W849" s="1"/>
      <c r="X849" s="1"/>
    </row>
    <row r="850" spans="19:24" x14ac:dyDescent="0.2">
      <c r="S850" s="1"/>
      <c r="T850" s="1"/>
      <c r="U850" s="1"/>
      <c r="V850" s="1"/>
      <c r="W850" s="1"/>
      <c r="X850" s="1"/>
    </row>
    <row r="851" spans="19:24" x14ac:dyDescent="0.2">
      <c r="S851" s="1"/>
      <c r="T851" s="1"/>
      <c r="U851" s="1"/>
      <c r="V851" s="1"/>
      <c r="W851" s="1"/>
      <c r="X851" s="1"/>
    </row>
    <row r="852" spans="19:24" x14ac:dyDescent="0.2">
      <c r="S852" s="1"/>
      <c r="T852" s="1"/>
      <c r="U852" s="1"/>
      <c r="V852" s="1"/>
      <c r="W852" s="1"/>
      <c r="X852" s="1"/>
    </row>
    <row r="853" spans="19:24" x14ac:dyDescent="0.2">
      <c r="S853" s="1"/>
      <c r="T853" s="1"/>
      <c r="U853" s="1"/>
      <c r="V853" s="1"/>
      <c r="W853" s="1"/>
      <c r="X853" s="1"/>
    </row>
    <row r="854" spans="19:24" x14ac:dyDescent="0.2">
      <c r="S854" s="1"/>
      <c r="T854" s="1"/>
      <c r="U854" s="1"/>
      <c r="V854" s="1"/>
      <c r="W854" s="1"/>
      <c r="X854" s="1"/>
    </row>
    <row r="855" spans="19:24" x14ac:dyDescent="0.2">
      <c r="S855" s="1"/>
      <c r="T855" s="1"/>
      <c r="U855" s="1"/>
      <c r="V855" s="1"/>
      <c r="W855" s="1"/>
      <c r="X855" s="1"/>
    </row>
    <row r="856" spans="19:24" x14ac:dyDescent="0.2">
      <c r="S856" s="1"/>
      <c r="T856" s="1"/>
      <c r="U856" s="1"/>
      <c r="V856" s="1"/>
      <c r="W856" s="1"/>
      <c r="X856" s="1"/>
    </row>
    <row r="857" spans="19:24" x14ac:dyDescent="0.2">
      <c r="S857" s="1"/>
      <c r="T857" s="1"/>
      <c r="U857" s="1"/>
      <c r="V857" s="1"/>
      <c r="W857" s="1"/>
      <c r="X857" s="1"/>
    </row>
    <row r="858" spans="19:24" x14ac:dyDescent="0.2">
      <c r="S858" s="1"/>
      <c r="T858" s="1"/>
      <c r="U858" s="1"/>
      <c r="V858" s="1"/>
      <c r="W858" s="1"/>
      <c r="X858" s="1"/>
    </row>
    <row r="859" spans="19:24" x14ac:dyDescent="0.2">
      <c r="S859" s="1"/>
      <c r="T859" s="1"/>
      <c r="U859" s="1"/>
      <c r="V859" s="1"/>
      <c r="W859" s="1"/>
      <c r="X859" s="1"/>
    </row>
    <row r="860" spans="19:24" x14ac:dyDescent="0.2">
      <c r="S860" s="1"/>
      <c r="T860" s="1"/>
      <c r="U860" s="1"/>
      <c r="V860" s="1"/>
      <c r="W860" s="1"/>
      <c r="X860" s="1"/>
    </row>
    <row r="861" spans="19:24" x14ac:dyDescent="0.2">
      <c r="S861" s="1"/>
      <c r="T861" s="1"/>
      <c r="U861" s="1"/>
      <c r="V861" s="1"/>
      <c r="W861" s="1"/>
      <c r="X861" s="1"/>
    </row>
    <row r="862" spans="19:24" x14ac:dyDescent="0.2">
      <c r="S862" s="1"/>
      <c r="T862" s="1"/>
      <c r="U862" s="1"/>
      <c r="V862" s="1"/>
      <c r="W862" s="1"/>
      <c r="X862" s="1"/>
    </row>
    <row r="863" spans="19:24" x14ac:dyDescent="0.2">
      <c r="S863" s="1"/>
      <c r="T863" s="1"/>
      <c r="U863" s="1"/>
      <c r="V863" s="1"/>
      <c r="W863" s="1"/>
      <c r="X863" s="1"/>
    </row>
    <row r="864" spans="19:24" x14ac:dyDescent="0.2">
      <c r="S864" s="1"/>
      <c r="T864" s="1"/>
      <c r="U864" s="1"/>
      <c r="V864" s="1"/>
      <c r="W864" s="1"/>
      <c r="X864" s="1"/>
    </row>
    <row r="865" spans="19:24" x14ac:dyDescent="0.2">
      <c r="S865" s="1"/>
      <c r="T865" s="1"/>
      <c r="U865" s="1"/>
      <c r="V865" s="1"/>
      <c r="W865" s="1"/>
      <c r="X865" s="1"/>
    </row>
    <row r="866" spans="19:24" x14ac:dyDescent="0.2">
      <c r="S866" s="1"/>
      <c r="T866" s="1"/>
      <c r="U866" s="1"/>
      <c r="V866" s="1"/>
      <c r="W866" s="1"/>
      <c r="X866" s="1"/>
    </row>
    <row r="867" spans="19:24" x14ac:dyDescent="0.2">
      <c r="S867" s="1"/>
      <c r="T867" s="1"/>
      <c r="U867" s="1"/>
      <c r="V867" s="1"/>
      <c r="W867" s="1"/>
      <c r="X867" s="1"/>
    </row>
    <row r="868" spans="19:24" x14ac:dyDescent="0.2">
      <c r="S868" s="1"/>
      <c r="T868" s="1"/>
      <c r="U868" s="1"/>
      <c r="V868" s="1"/>
      <c r="W868" s="1"/>
      <c r="X868" s="1"/>
    </row>
    <row r="869" spans="19:24" x14ac:dyDescent="0.2">
      <c r="S869" s="1"/>
      <c r="T869" s="1"/>
      <c r="U869" s="1"/>
      <c r="V869" s="1"/>
      <c r="W869" s="1"/>
      <c r="X869" s="1"/>
    </row>
    <row r="870" spans="19:24" x14ac:dyDescent="0.2">
      <c r="S870" s="1"/>
      <c r="T870" s="1"/>
      <c r="U870" s="1"/>
      <c r="V870" s="1"/>
      <c r="W870" s="1"/>
      <c r="X870" s="1"/>
    </row>
    <row r="871" spans="19:24" x14ac:dyDescent="0.2">
      <c r="S871" s="1"/>
      <c r="T871" s="1"/>
      <c r="U871" s="1"/>
      <c r="V871" s="1"/>
      <c r="W871" s="1"/>
      <c r="X871" s="1"/>
    </row>
    <row r="872" spans="19:24" x14ac:dyDescent="0.2">
      <c r="S872" s="1"/>
      <c r="T872" s="1"/>
      <c r="U872" s="1"/>
      <c r="V872" s="1"/>
      <c r="W872" s="1"/>
      <c r="X872" s="1"/>
    </row>
    <row r="873" spans="19:24" x14ac:dyDescent="0.2">
      <c r="S873" s="1"/>
      <c r="T873" s="1"/>
      <c r="U873" s="1"/>
      <c r="V873" s="1"/>
      <c r="W873" s="1"/>
      <c r="X873" s="1"/>
    </row>
    <row r="874" spans="19:24" x14ac:dyDescent="0.2">
      <c r="S874" s="1"/>
      <c r="T874" s="1"/>
      <c r="U874" s="1"/>
      <c r="V874" s="1"/>
      <c r="W874" s="1"/>
      <c r="X874" s="1"/>
    </row>
    <row r="875" spans="19:24" x14ac:dyDescent="0.2">
      <c r="S875" s="1"/>
      <c r="T875" s="1"/>
      <c r="U875" s="1"/>
      <c r="V875" s="1"/>
      <c r="W875" s="1"/>
      <c r="X875" s="1"/>
    </row>
    <row r="876" spans="19:24" x14ac:dyDescent="0.2">
      <c r="S876" s="1"/>
      <c r="T876" s="1"/>
      <c r="U876" s="1"/>
      <c r="V876" s="1"/>
      <c r="W876" s="1"/>
      <c r="X876" s="1"/>
    </row>
    <row r="877" spans="19:24" x14ac:dyDescent="0.2">
      <c r="S877" s="1"/>
      <c r="T877" s="1"/>
      <c r="U877" s="1"/>
      <c r="V877" s="1"/>
      <c r="W877" s="1"/>
      <c r="X877" s="1"/>
    </row>
    <row r="878" spans="19:24" x14ac:dyDescent="0.2">
      <c r="S878" s="1"/>
      <c r="T878" s="1"/>
      <c r="U878" s="1"/>
      <c r="V878" s="1"/>
      <c r="W878" s="1"/>
      <c r="X878" s="1"/>
    </row>
    <row r="879" spans="19:24" x14ac:dyDescent="0.2">
      <c r="S879" s="1"/>
      <c r="T879" s="1"/>
      <c r="U879" s="1"/>
      <c r="V879" s="1"/>
      <c r="W879" s="1"/>
      <c r="X879" s="1"/>
    </row>
    <row r="880" spans="19:24" x14ac:dyDescent="0.2">
      <c r="S880" s="1"/>
      <c r="T880" s="1"/>
      <c r="U880" s="1"/>
      <c r="V880" s="1"/>
      <c r="W880" s="1"/>
      <c r="X880" s="1"/>
    </row>
    <row r="881" spans="19:24" x14ac:dyDescent="0.2">
      <c r="S881" s="1"/>
      <c r="T881" s="1"/>
      <c r="U881" s="1"/>
      <c r="V881" s="1"/>
      <c r="W881" s="1"/>
      <c r="X881" s="1"/>
    </row>
    <row r="882" spans="19:24" x14ac:dyDescent="0.2">
      <c r="S882" s="1"/>
      <c r="T882" s="1"/>
      <c r="U882" s="1"/>
      <c r="V882" s="1"/>
      <c r="W882" s="1"/>
      <c r="X882" s="1"/>
    </row>
    <row r="883" spans="19:24" x14ac:dyDescent="0.2">
      <c r="S883" s="1"/>
      <c r="T883" s="1"/>
      <c r="U883" s="1"/>
      <c r="V883" s="1"/>
      <c r="W883" s="1"/>
      <c r="X883" s="1"/>
    </row>
    <row r="884" spans="19:24" x14ac:dyDescent="0.2">
      <c r="S884" s="1"/>
      <c r="T884" s="1"/>
      <c r="U884" s="1"/>
      <c r="V884" s="1"/>
      <c r="W884" s="1"/>
      <c r="X884" s="1"/>
    </row>
    <row r="885" spans="19:24" x14ac:dyDescent="0.2">
      <c r="S885" s="1"/>
      <c r="T885" s="1"/>
      <c r="U885" s="1"/>
      <c r="V885" s="1"/>
      <c r="W885" s="1"/>
      <c r="X885" s="1"/>
    </row>
    <row r="886" spans="19:24" x14ac:dyDescent="0.2">
      <c r="S886" s="1"/>
      <c r="T886" s="1"/>
      <c r="U886" s="1"/>
      <c r="V886" s="1"/>
      <c r="W886" s="1"/>
      <c r="X886" s="1"/>
    </row>
    <row r="887" spans="19:24" x14ac:dyDescent="0.2">
      <c r="S887" s="1"/>
      <c r="T887" s="1"/>
      <c r="U887" s="1"/>
      <c r="V887" s="1"/>
      <c r="W887" s="1"/>
      <c r="X887" s="1"/>
    </row>
    <row r="888" spans="19:24" x14ac:dyDescent="0.2">
      <c r="S888" s="1"/>
      <c r="T888" s="1"/>
      <c r="U888" s="1"/>
      <c r="V888" s="1"/>
      <c r="W888" s="1"/>
      <c r="X888" s="1"/>
    </row>
    <row r="889" spans="19:24" x14ac:dyDescent="0.2">
      <c r="S889" s="1"/>
      <c r="T889" s="1"/>
      <c r="U889" s="1"/>
      <c r="V889" s="1"/>
      <c r="W889" s="1"/>
      <c r="X889" s="1"/>
    </row>
    <row r="890" spans="19:24" x14ac:dyDescent="0.2">
      <c r="S890" s="1"/>
      <c r="T890" s="1"/>
      <c r="U890" s="1"/>
      <c r="V890" s="1"/>
      <c r="W890" s="1"/>
      <c r="X890" s="1"/>
    </row>
    <row r="891" spans="19:24" x14ac:dyDescent="0.2">
      <c r="S891" s="1"/>
      <c r="T891" s="1"/>
      <c r="U891" s="1"/>
      <c r="V891" s="1"/>
      <c r="W891" s="1"/>
      <c r="X891" s="1"/>
    </row>
    <row r="892" spans="19:24" x14ac:dyDescent="0.2">
      <c r="S892" s="1"/>
      <c r="T892" s="1"/>
      <c r="U892" s="1"/>
      <c r="V892" s="1"/>
      <c r="W892" s="1"/>
      <c r="X892" s="1"/>
    </row>
    <row r="893" spans="19:24" x14ac:dyDescent="0.2">
      <c r="S893" s="1"/>
      <c r="T893" s="1"/>
      <c r="U893" s="1"/>
      <c r="V893" s="1"/>
      <c r="W893" s="1"/>
      <c r="X893" s="1"/>
    </row>
    <row r="894" spans="19:24" x14ac:dyDescent="0.2">
      <c r="S894" s="1"/>
      <c r="T894" s="1"/>
      <c r="U894" s="1"/>
      <c r="V894" s="1"/>
      <c r="W894" s="1"/>
      <c r="X894" s="1"/>
    </row>
    <row r="895" spans="19:24" x14ac:dyDescent="0.2">
      <c r="S895" s="1"/>
      <c r="T895" s="1"/>
      <c r="U895" s="1"/>
      <c r="V895" s="1"/>
      <c r="W895" s="1"/>
      <c r="X895" s="1"/>
    </row>
    <row r="896" spans="19:24" x14ac:dyDescent="0.2">
      <c r="S896" s="1"/>
      <c r="T896" s="1"/>
      <c r="U896" s="1"/>
      <c r="V896" s="1"/>
      <c r="W896" s="1"/>
      <c r="X896" s="1"/>
    </row>
    <row r="897" spans="19:24" x14ac:dyDescent="0.2">
      <c r="S897" s="1"/>
      <c r="T897" s="1"/>
      <c r="U897" s="1"/>
      <c r="V897" s="1"/>
      <c r="W897" s="1"/>
      <c r="X897" s="1"/>
    </row>
    <row r="898" spans="19:24" x14ac:dyDescent="0.2">
      <c r="S898" s="1"/>
      <c r="T898" s="1"/>
      <c r="U898" s="1"/>
      <c r="V898" s="1"/>
      <c r="W898" s="1"/>
      <c r="X898" s="1"/>
    </row>
    <row r="899" spans="19:24" x14ac:dyDescent="0.2">
      <c r="S899" s="1"/>
      <c r="T899" s="1"/>
      <c r="U899" s="1"/>
      <c r="V899" s="1"/>
      <c r="W899" s="1"/>
      <c r="X899" s="1"/>
    </row>
    <row r="900" spans="19:24" x14ac:dyDescent="0.2">
      <c r="S900" s="1"/>
      <c r="T900" s="1"/>
      <c r="U900" s="1"/>
      <c r="V900" s="1"/>
      <c r="W900" s="1"/>
      <c r="X900" s="1"/>
    </row>
    <row r="901" spans="19:24" x14ac:dyDescent="0.2">
      <c r="S901" s="1"/>
      <c r="T901" s="1"/>
      <c r="U901" s="1"/>
      <c r="V901" s="1"/>
      <c r="W901" s="1"/>
      <c r="X901" s="1"/>
    </row>
    <row r="902" spans="19:24" x14ac:dyDescent="0.2">
      <c r="S902" s="1"/>
      <c r="T902" s="1"/>
      <c r="U902" s="1"/>
      <c r="V902" s="1"/>
      <c r="W902" s="1"/>
      <c r="X902" s="1"/>
    </row>
    <row r="903" spans="19:24" x14ac:dyDescent="0.2">
      <c r="S903" s="1"/>
      <c r="T903" s="1"/>
      <c r="U903" s="1"/>
      <c r="V903" s="1"/>
      <c r="W903" s="1"/>
      <c r="X903" s="1"/>
    </row>
    <row r="904" spans="19:24" x14ac:dyDescent="0.2">
      <c r="S904" s="1"/>
      <c r="T904" s="1"/>
      <c r="U904" s="1"/>
      <c r="V904" s="1"/>
      <c r="W904" s="1"/>
      <c r="X904" s="1"/>
    </row>
    <row r="905" spans="19:24" x14ac:dyDescent="0.2">
      <c r="S905" s="1"/>
      <c r="T905" s="1"/>
      <c r="U905" s="1"/>
      <c r="V905" s="1"/>
      <c r="W905" s="1"/>
      <c r="X905" s="1"/>
    </row>
    <row r="906" spans="19:24" x14ac:dyDescent="0.2">
      <c r="S906" s="1"/>
      <c r="T906" s="1"/>
      <c r="U906" s="1"/>
      <c r="V906" s="1"/>
      <c r="W906" s="1"/>
      <c r="X906" s="1"/>
    </row>
    <row r="907" spans="19:24" x14ac:dyDescent="0.2">
      <c r="S907" s="1"/>
      <c r="T907" s="1"/>
      <c r="U907" s="1"/>
      <c r="V907" s="1"/>
      <c r="W907" s="1"/>
      <c r="X907" s="1"/>
    </row>
    <row r="908" spans="19:24" x14ac:dyDescent="0.2">
      <c r="S908" s="1"/>
      <c r="T908" s="1"/>
      <c r="U908" s="1"/>
      <c r="V908" s="1"/>
      <c r="W908" s="1"/>
      <c r="X908" s="1"/>
    </row>
    <row r="909" spans="19:24" x14ac:dyDescent="0.2">
      <c r="S909" s="1"/>
      <c r="T909" s="1"/>
      <c r="U909" s="1"/>
      <c r="V909" s="1"/>
      <c r="W909" s="1"/>
      <c r="X909" s="1"/>
    </row>
    <row r="910" spans="19:24" x14ac:dyDescent="0.2">
      <c r="S910" s="1"/>
      <c r="T910" s="1"/>
      <c r="U910" s="1"/>
      <c r="V910" s="1"/>
      <c r="W910" s="1"/>
      <c r="X910" s="1"/>
    </row>
    <row r="911" spans="19:24" x14ac:dyDescent="0.2">
      <c r="S911" s="1"/>
      <c r="T911" s="1"/>
      <c r="U911" s="1"/>
      <c r="V911" s="1"/>
      <c r="W911" s="1"/>
      <c r="X911" s="1"/>
    </row>
    <row r="912" spans="19:24" x14ac:dyDescent="0.2">
      <c r="S912" s="1"/>
      <c r="T912" s="1"/>
      <c r="U912" s="1"/>
      <c r="V912" s="1"/>
      <c r="W912" s="1"/>
      <c r="X912" s="1"/>
    </row>
    <row r="913" spans="19:24" x14ac:dyDescent="0.2">
      <c r="S913" s="1"/>
      <c r="T913" s="1"/>
      <c r="U913" s="1"/>
      <c r="V913" s="1"/>
      <c r="W913" s="1"/>
      <c r="X913" s="1"/>
    </row>
    <row r="914" spans="19:24" x14ac:dyDescent="0.2">
      <c r="S914" s="1"/>
      <c r="T914" s="1"/>
      <c r="U914" s="1"/>
      <c r="V914" s="1"/>
      <c r="W914" s="1"/>
      <c r="X914" s="1"/>
    </row>
    <row r="915" spans="19:24" x14ac:dyDescent="0.2">
      <c r="S915" s="1"/>
      <c r="T915" s="1"/>
      <c r="U915" s="1"/>
      <c r="V915" s="1"/>
      <c r="W915" s="1"/>
      <c r="X915" s="1"/>
    </row>
    <row r="916" spans="19:24" x14ac:dyDescent="0.2">
      <c r="S916" s="1"/>
      <c r="T916" s="1"/>
      <c r="U916" s="1"/>
      <c r="V916" s="1"/>
      <c r="W916" s="1"/>
      <c r="X916" s="1"/>
    </row>
    <row r="917" spans="19:24" x14ac:dyDescent="0.2">
      <c r="S917" s="1"/>
      <c r="T917" s="1"/>
      <c r="U917" s="1"/>
      <c r="V917" s="1"/>
      <c r="W917" s="1"/>
      <c r="X917" s="1"/>
    </row>
    <row r="918" spans="19:24" x14ac:dyDescent="0.2">
      <c r="S918" s="1"/>
      <c r="T918" s="1"/>
      <c r="U918" s="1"/>
      <c r="V918" s="1"/>
      <c r="W918" s="1"/>
      <c r="X918" s="1"/>
    </row>
    <row r="919" spans="19:24" x14ac:dyDescent="0.2">
      <c r="S919" s="1"/>
      <c r="T919" s="1"/>
      <c r="U919" s="1"/>
      <c r="V919" s="1"/>
      <c r="W919" s="1"/>
      <c r="X919" s="1"/>
    </row>
    <row r="920" spans="19:24" x14ac:dyDescent="0.2">
      <c r="S920" s="1"/>
      <c r="T920" s="1"/>
      <c r="U920" s="1"/>
      <c r="V920" s="1"/>
      <c r="W920" s="1"/>
      <c r="X920" s="1"/>
    </row>
    <row r="921" spans="19:24" x14ac:dyDescent="0.2">
      <c r="S921" s="1"/>
      <c r="T921" s="1"/>
      <c r="U921" s="1"/>
      <c r="V921" s="1"/>
      <c r="W921" s="1"/>
      <c r="X921" s="1"/>
    </row>
    <row r="922" spans="19:24" x14ac:dyDescent="0.2">
      <c r="S922" s="1"/>
      <c r="T922" s="1"/>
      <c r="U922" s="1"/>
      <c r="V922" s="1"/>
      <c r="W922" s="1"/>
      <c r="X922" s="1"/>
    </row>
    <row r="923" spans="19:24" x14ac:dyDescent="0.2">
      <c r="S923" s="1"/>
      <c r="T923" s="1"/>
      <c r="U923" s="1"/>
      <c r="V923" s="1"/>
      <c r="W923" s="1"/>
      <c r="X923" s="1"/>
    </row>
    <row r="924" spans="19:24" x14ac:dyDescent="0.2">
      <c r="S924" s="1"/>
      <c r="T924" s="1"/>
      <c r="U924" s="1"/>
      <c r="V924" s="1"/>
      <c r="W924" s="1"/>
      <c r="X924" s="1"/>
    </row>
    <row r="925" spans="19:24" x14ac:dyDescent="0.2">
      <c r="S925" s="1"/>
      <c r="T925" s="1"/>
      <c r="U925" s="1"/>
      <c r="V925" s="1"/>
      <c r="W925" s="1"/>
      <c r="X925" s="1"/>
    </row>
    <row r="926" spans="19:24" x14ac:dyDescent="0.2">
      <c r="S926" s="1"/>
      <c r="T926" s="1"/>
      <c r="U926" s="1"/>
      <c r="V926" s="1"/>
      <c r="W926" s="1"/>
      <c r="X926" s="1"/>
    </row>
    <row r="927" spans="19:24" x14ac:dyDescent="0.2">
      <c r="S927" s="1"/>
      <c r="T927" s="1"/>
      <c r="U927" s="1"/>
      <c r="V927" s="1"/>
      <c r="W927" s="1"/>
      <c r="X927" s="1"/>
    </row>
    <row r="928" spans="19:24" x14ac:dyDescent="0.2">
      <c r="S928" s="1"/>
      <c r="T928" s="1"/>
      <c r="U928" s="1"/>
      <c r="V928" s="1"/>
      <c r="W928" s="1"/>
      <c r="X928" s="1"/>
    </row>
    <row r="929" spans="19:24" x14ac:dyDescent="0.2">
      <c r="S929" s="1"/>
      <c r="T929" s="1"/>
      <c r="U929" s="1"/>
      <c r="V929" s="1"/>
      <c r="W929" s="1"/>
      <c r="X929" s="1"/>
    </row>
    <row r="930" spans="19:24" x14ac:dyDescent="0.2">
      <c r="S930" s="1"/>
      <c r="T930" s="1"/>
      <c r="U930" s="1"/>
      <c r="V930" s="1"/>
      <c r="W930" s="1"/>
      <c r="X930" s="1"/>
    </row>
    <row r="931" spans="19:24" x14ac:dyDescent="0.2">
      <c r="S931" s="1"/>
      <c r="T931" s="1"/>
      <c r="U931" s="1"/>
      <c r="V931" s="1"/>
      <c r="W931" s="1"/>
      <c r="X931" s="1"/>
    </row>
    <row r="932" spans="19:24" x14ac:dyDescent="0.2">
      <c r="S932" s="1"/>
      <c r="T932" s="1"/>
      <c r="U932" s="1"/>
      <c r="V932" s="1"/>
      <c r="W932" s="1"/>
      <c r="X932" s="1"/>
    </row>
    <row r="933" spans="19:24" x14ac:dyDescent="0.2">
      <c r="S933" s="1"/>
      <c r="T933" s="1"/>
      <c r="U933" s="1"/>
      <c r="V933" s="1"/>
      <c r="W933" s="1"/>
      <c r="X933" s="1"/>
    </row>
    <row r="934" spans="19:24" x14ac:dyDescent="0.2">
      <c r="S934" s="1"/>
      <c r="T934" s="1"/>
      <c r="U934" s="1"/>
      <c r="V934" s="1"/>
      <c r="W934" s="1"/>
      <c r="X934" s="1"/>
    </row>
    <row r="935" spans="19:24" x14ac:dyDescent="0.2">
      <c r="S935" s="1"/>
      <c r="T935" s="1"/>
      <c r="U935" s="1"/>
      <c r="V935" s="1"/>
      <c r="W935" s="1"/>
      <c r="X935" s="1"/>
    </row>
    <row r="936" spans="19:24" x14ac:dyDescent="0.2">
      <c r="S936" s="1"/>
      <c r="T936" s="1"/>
      <c r="U936" s="1"/>
      <c r="V936" s="1"/>
      <c r="W936" s="1"/>
      <c r="X936" s="1"/>
    </row>
    <row r="937" spans="19:24" x14ac:dyDescent="0.2">
      <c r="S937" s="1"/>
      <c r="T937" s="1"/>
      <c r="U937" s="1"/>
      <c r="V937" s="1"/>
      <c r="W937" s="1"/>
      <c r="X937" s="1"/>
    </row>
    <row r="938" spans="19:24" x14ac:dyDescent="0.2">
      <c r="S938" s="1"/>
      <c r="T938" s="1"/>
      <c r="U938" s="1"/>
      <c r="V938" s="1"/>
      <c r="W938" s="1"/>
      <c r="X938" s="1"/>
    </row>
    <row r="939" spans="19:24" x14ac:dyDescent="0.2">
      <c r="S939" s="1"/>
      <c r="T939" s="1"/>
      <c r="U939" s="1"/>
      <c r="V939" s="1"/>
      <c r="W939" s="1"/>
      <c r="X939" s="1"/>
    </row>
    <row r="940" spans="19:24" x14ac:dyDescent="0.2">
      <c r="S940" s="1"/>
      <c r="T940" s="1"/>
      <c r="U940" s="1"/>
      <c r="V940" s="1"/>
      <c r="W940" s="1"/>
      <c r="X940" s="1"/>
    </row>
    <row r="941" spans="19:24" x14ac:dyDescent="0.2">
      <c r="S941" s="1"/>
      <c r="T941" s="1"/>
      <c r="U941" s="1"/>
      <c r="V941" s="1"/>
      <c r="W941" s="1"/>
      <c r="X941" s="1"/>
    </row>
    <row r="942" spans="19:24" x14ac:dyDescent="0.2">
      <c r="S942" s="1"/>
      <c r="T942" s="1"/>
      <c r="U942" s="1"/>
      <c r="V942" s="1"/>
      <c r="W942" s="1"/>
      <c r="X942" s="1"/>
    </row>
    <row r="943" spans="19:24" x14ac:dyDescent="0.2">
      <c r="S943" s="1"/>
      <c r="T943" s="1"/>
      <c r="U943" s="1"/>
      <c r="V943" s="1"/>
      <c r="W943" s="1"/>
      <c r="X943" s="1"/>
    </row>
    <row r="944" spans="19:24" x14ac:dyDescent="0.2">
      <c r="S944" s="1"/>
      <c r="T944" s="1"/>
      <c r="U944" s="1"/>
      <c r="V944" s="1"/>
      <c r="W944" s="1"/>
      <c r="X944" s="1"/>
    </row>
    <row r="945" spans="19:24" x14ac:dyDescent="0.2">
      <c r="S945" s="1"/>
      <c r="T945" s="1"/>
      <c r="U945" s="1"/>
      <c r="V945" s="1"/>
      <c r="W945" s="1"/>
      <c r="X945" s="1"/>
    </row>
    <row r="946" spans="19:24" x14ac:dyDescent="0.2">
      <c r="S946" s="1"/>
      <c r="T946" s="1"/>
      <c r="U946" s="1"/>
      <c r="V946" s="1"/>
      <c r="W946" s="1"/>
      <c r="X946" s="1"/>
    </row>
    <row r="947" spans="19:24" x14ac:dyDescent="0.2">
      <c r="S947" s="1"/>
      <c r="T947" s="1"/>
      <c r="U947" s="1"/>
      <c r="V947" s="1"/>
      <c r="W947" s="1"/>
      <c r="X947" s="1"/>
    </row>
    <row r="948" spans="19:24" x14ac:dyDescent="0.2">
      <c r="S948" s="1"/>
      <c r="T948" s="1"/>
      <c r="U948" s="1"/>
      <c r="V948" s="1"/>
      <c r="W948" s="1"/>
      <c r="X948" s="1"/>
    </row>
    <row r="949" spans="19:24" x14ac:dyDescent="0.2">
      <c r="S949" s="1"/>
      <c r="T949" s="1"/>
      <c r="U949" s="1"/>
      <c r="V949" s="1"/>
      <c r="W949" s="1"/>
      <c r="X949" s="1"/>
    </row>
    <row r="950" spans="19:24" x14ac:dyDescent="0.2">
      <c r="S950" s="1"/>
      <c r="T950" s="1"/>
      <c r="U950" s="1"/>
      <c r="V950" s="1"/>
      <c r="W950" s="1"/>
      <c r="X950" s="1"/>
    </row>
    <row r="951" spans="19:24" x14ac:dyDescent="0.2">
      <c r="S951" s="1"/>
      <c r="T951" s="1"/>
      <c r="U951" s="1"/>
      <c r="V951" s="1"/>
      <c r="W951" s="1"/>
      <c r="X951" s="1"/>
    </row>
    <row r="952" spans="19:24" x14ac:dyDescent="0.2">
      <c r="S952" s="1"/>
      <c r="T952" s="1"/>
      <c r="U952" s="1"/>
      <c r="V952" s="1"/>
      <c r="W952" s="1"/>
      <c r="X952" s="1"/>
    </row>
    <row r="953" spans="19:24" x14ac:dyDescent="0.2">
      <c r="S953" s="1"/>
      <c r="T953" s="1"/>
      <c r="U953" s="1"/>
      <c r="V953" s="1"/>
      <c r="W953" s="1"/>
      <c r="X953" s="1"/>
    </row>
    <row r="954" spans="19:24" x14ac:dyDescent="0.2">
      <c r="S954" s="1"/>
      <c r="T954" s="1"/>
      <c r="U954" s="1"/>
      <c r="V954" s="1"/>
      <c r="W954" s="1"/>
      <c r="X954" s="1"/>
    </row>
    <row r="955" spans="19:24" x14ac:dyDescent="0.2">
      <c r="S955" s="1"/>
      <c r="T955" s="1"/>
      <c r="U955" s="1"/>
      <c r="V955" s="1"/>
      <c r="W955" s="1"/>
      <c r="X955" s="1"/>
    </row>
    <row r="956" spans="19:24" x14ac:dyDescent="0.2">
      <c r="S956" s="1"/>
      <c r="T956" s="1"/>
      <c r="U956" s="1"/>
      <c r="V956" s="1"/>
      <c r="W956" s="1"/>
      <c r="X956" s="1"/>
    </row>
    <row r="957" spans="19:24" x14ac:dyDescent="0.2">
      <c r="S957" s="1"/>
      <c r="T957" s="1"/>
      <c r="U957" s="1"/>
      <c r="V957" s="1"/>
      <c r="W957" s="1"/>
      <c r="X957" s="1"/>
    </row>
    <row r="958" spans="19:24" x14ac:dyDescent="0.2">
      <c r="S958" s="1"/>
      <c r="T958" s="1"/>
      <c r="U958" s="1"/>
      <c r="V958" s="1"/>
      <c r="W958" s="1"/>
      <c r="X958" s="1"/>
    </row>
    <row r="959" spans="19:24" x14ac:dyDescent="0.2">
      <c r="S959" s="1"/>
      <c r="T959" s="1"/>
      <c r="U959" s="1"/>
      <c r="V959" s="1"/>
      <c r="W959" s="1"/>
      <c r="X959" s="1"/>
    </row>
    <row r="960" spans="19:24" x14ac:dyDescent="0.2">
      <c r="S960" s="1"/>
      <c r="T960" s="1"/>
      <c r="U960" s="1"/>
      <c r="V960" s="1"/>
      <c r="W960" s="1"/>
      <c r="X960" s="1"/>
    </row>
    <row r="961" spans="19:24" x14ac:dyDescent="0.2">
      <c r="S961" s="1"/>
      <c r="T961" s="1"/>
      <c r="U961" s="1"/>
      <c r="V961" s="1"/>
      <c r="W961" s="1"/>
      <c r="X961" s="1"/>
    </row>
    <row r="962" spans="19:24" x14ac:dyDescent="0.2">
      <c r="S962" s="1"/>
      <c r="T962" s="1"/>
      <c r="U962" s="1"/>
      <c r="V962" s="1"/>
      <c r="W962" s="1"/>
      <c r="X962" s="1"/>
    </row>
    <row r="963" spans="19:24" x14ac:dyDescent="0.2">
      <c r="S963" s="1"/>
      <c r="T963" s="1"/>
      <c r="U963" s="1"/>
      <c r="V963" s="1"/>
      <c r="W963" s="1"/>
      <c r="X963" s="1"/>
    </row>
    <row r="964" spans="19:24" x14ac:dyDescent="0.2">
      <c r="S964" s="1"/>
      <c r="T964" s="1"/>
      <c r="U964" s="1"/>
      <c r="V964" s="1"/>
      <c r="W964" s="1"/>
      <c r="X964" s="1"/>
    </row>
    <row r="965" spans="19:24" x14ac:dyDescent="0.2">
      <c r="S965" s="1"/>
      <c r="T965" s="1"/>
      <c r="U965" s="1"/>
      <c r="V965" s="1"/>
      <c r="W965" s="1"/>
      <c r="X965" s="1"/>
    </row>
    <row r="966" spans="19:24" x14ac:dyDescent="0.2">
      <c r="S966" s="1"/>
      <c r="T966" s="1"/>
      <c r="U966" s="1"/>
      <c r="V966" s="1"/>
      <c r="W966" s="1"/>
      <c r="X966" s="1"/>
    </row>
    <row r="967" spans="19:24" x14ac:dyDescent="0.2">
      <c r="S967" s="1"/>
      <c r="T967" s="1"/>
      <c r="U967" s="1"/>
      <c r="V967" s="1"/>
      <c r="W967" s="1"/>
      <c r="X967" s="1"/>
    </row>
    <row r="968" spans="19:24" x14ac:dyDescent="0.2">
      <c r="S968" s="1"/>
      <c r="T968" s="1"/>
      <c r="U968" s="1"/>
      <c r="V968" s="1"/>
      <c r="W968" s="1"/>
      <c r="X968" s="1"/>
    </row>
    <row r="969" spans="19:24" x14ac:dyDescent="0.2">
      <c r="S969" s="1"/>
      <c r="T969" s="1"/>
      <c r="U969" s="1"/>
      <c r="V969" s="1"/>
      <c r="W969" s="1"/>
      <c r="X969" s="1"/>
    </row>
    <row r="970" spans="19:24" x14ac:dyDescent="0.2">
      <c r="S970" s="1"/>
      <c r="T970" s="1"/>
      <c r="U970" s="1"/>
      <c r="V970" s="1"/>
      <c r="W970" s="1"/>
      <c r="X970" s="1"/>
    </row>
    <row r="971" spans="19:24" x14ac:dyDescent="0.2">
      <c r="S971" s="1"/>
      <c r="T971" s="1"/>
      <c r="U971" s="1"/>
      <c r="V971" s="1"/>
      <c r="W971" s="1"/>
      <c r="X971" s="1"/>
    </row>
    <row r="972" spans="19:24" x14ac:dyDescent="0.2">
      <c r="S972" s="1"/>
      <c r="T972" s="1"/>
      <c r="U972" s="1"/>
      <c r="V972" s="1"/>
      <c r="W972" s="1"/>
      <c r="X972" s="1"/>
    </row>
    <row r="973" spans="19:24" x14ac:dyDescent="0.2">
      <c r="S973" s="1"/>
      <c r="T973" s="1"/>
      <c r="U973" s="1"/>
      <c r="V973" s="1"/>
      <c r="W973" s="1"/>
      <c r="X973" s="1"/>
    </row>
    <row r="974" spans="19:24" x14ac:dyDescent="0.2">
      <c r="S974" s="1"/>
      <c r="T974" s="1"/>
      <c r="U974" s="1"/>
      <c r="V974" s="1"/>
      <c r="W974" s="1"/>
      <c r="X974" s="1"/>
    </row>
    <row r="975" spans="19:24" x14ac:dyDescent="0.2">
      <c r="S975" s="1"/>
      <c r="T975" s="1"/>
      <c r="U975" s="1"/>
      <c r="V975" s="1"/>
      <c r="W975" s="1"/>
      <c r="X975" s="1"/>
    </row>
    <row r="976" spans="19:24" x14ac:dyDescent="0.2">
      <c r="S976" s="1"/>
      <c r="T976" s="1"/>
      <c r="U976" s="1"/>
      <c r="V976" s="1"/>
      <c r="W976" s="1"/>
      <c r="X976" s="1"/>
    </row>
    <row r="977" spans="19:24" x14ac:dyDescent="0.2">
      <c r="S977" s="1"/>
      <c r="T977" s="1"/>
      <c r="U977" s="1"/>
      <c r="V977" s="1"/>
      <c r="W977" s="1"/>
      <c r="X977" s="1"/>
    </row>
    <row r="978" spans="19:24" x14ac:dyDescent="0.2">
      <c r="S978" s="1"/>
      <c r="T978" s="1"/>
      <c r="U978" s="1"/>
      <c r="V978" s="1"/>
      <c r="W978" s="1"/>
      <c r="X978" s="1"/>
    </row>
    <row r="979" spans="19:24" x14ac:dyDescent="0.2">
      <c r="S979" s="1"/>
      <c r="T979" s="1"/>
      <c r="U979" s="1"/>
      <c r="V979" s="1"/>
      <c r="W979" s="1"/>
      <c r="X979" s="1"/>
    </row>
    <row r="980" spans="19:24" x14ac:dyDescent="0.2">
      <c r="S980" s="1"/>
      <c r="T980" s="1"/>
      <c r="U980" s="1"/>
      <c r="V980" s="1"/>
      <c r="W980" s="1"/>
      <c r="X980" s="1"/>
    </row>
    <row r="981" spans="19:24" x14ac:dyDescent="0.2">
      <c r="S981" s="1"/>
      <c r="T981" s="1"/>
      <c r="U981" s="1"/>
      <c r="V981" s="1"/>
      <c r="W981" s="1"/>
      <c r="X981" s="1"/>
    </row>
    <row r="982" spans="19:24" x14ac:dyDescent="0.2">
      <c r="S982" s="1"/>
      <c r="T982" s="1"/>
      <c r="U982" s="1"/>
      <c r="V982" s="1"/>
      <c r="W982" s="1"/>
      <c r="X982" s="1"/>
    </row>
    <row r="983" spans="19:24" x14ac:dyDescent="0.2">
      <c r="S983" s="1"/>
      <c r="T983" s="1"/>
      <c r="U983" s="1"/>
      <c r="V983" s="1"/>
      <c r="W983" s="1"/>
      <c r="X983" s="1"/>
    </row>
    <row r="984" spans="19:24" x14ac:dyDescent="0.2">
      <c r="S984" s="1"/>
      <c r="T984" s="1"/>
      <c r="U984" s="1"/>
      <c r="V984" s="1"/>
      <c r="W984" s="1"/>
      <c r="X984" s="1"/>
    </row>
    <row r="985" spans="19:24" x14ac:dyDescent="0.2">
      <c r="S985" s="1"/>
      <c r="T985" s="1"/>
      <c r="U985" s="1"/>
      <c r="V985" s="1"/>
      <c r="W985" s="1"/>
      <c r="X985" s="1"/>
    </row>
    <row r="986" spans="19:24" x14ac:dyDescent="0.2">
      <c r="S986" s="1"/>
      <c r="T986" s="1"/>
      <c r="U986" s="1"/>
      <c r="V986" s="1"/>
      <c r="W986" s="1"/>
      <c r="X986" s="1"/>
    </row>
    <row r="987" spans="19:24" x14ac:dyDescent="0.2">
      <c r="S987" s="1"/>
      <c r="T987" s="1"/>
      <c r="U987" s="1"/>
      <c r="V987" s="1"/>
      <c r="W987" s="1"/>
      <c r="X987" s="1"/>
    </row>
    <row r="988" spans="19:24" x14ac:dyDescent="0.2">
      <c r="S988" s="1"/>
      <c r="T988" s="1"/>
      <c r="U988" s="1"/>
      <c r="V988" s="1"/>
      <c r="W988" s="1"/>
      <c r="X988" s="1"/>
    </row>
    <row r="989" spans="19:24" x14ac:dyDescent="0.2">
      <c r="S989" s="1"/>
      <c r="T989" s="1"/>
      <c r="U989" s="1"/>
      <c r="V989" s="1"/>
      <c r="W989" s="1"/>
      <c r="X989" s="1"/>
    </row>
    <row r="990" spans="19:24" x14ac:dyDescent="0.2">
      <c r="S990" s="1"/>
      <c r="T990" s="1"/>
      <c r="U990" s="1"/>
      <c r="V990" s="1"/>
      <c r="W990" s="1"/>
      <c r="X990" s="1"/>
    </row>
    <row r="991" spans="19:24" x14ac:dyDescent="0.2">
      <c r="S991" s="1"/>
      <c r="T991" s="1"/>
      <c r="U991" s="1"/>
      <c r="V991" s="1"/>
      <c r="W991" s="1"/>
      <c r="X991" s="1"/>
    </row>
    <row r="992" spans="19:24" x14ac:dyDescent="0.2">
      <c r="S992" s="1"/>
      <c r="T992" s="1"/>
      <c r="U992" s="1"/>
      <c r="V992" s="1"/>
      <c r="W992" s="1"/>
      <c r="X992" s="1"/>
    </row>
    <row r="993" spans="19:24" x14ac:dyDescent="0.2">
      <c r="S993" s="1"/>
      <c r="T993" s="1"/>
      <c r="U993" s="1"/>
      <c r="V993" s="1"/>
      <c r="W993" s="1"/>
      <c r="X993" s="1"/>
    </row>
    <row r="994" spans="19:24" x14ac:dyDescent="0.2">
      <c r="S994" s="1"/>
      <c r="T994" s="1"/>
      <c r="U994" s="1"/>
      <c r="V994" s="1"/>
      <c r="W994" s="1"/>
      <c r="X994" s="1"/>
    </row>
    <row r="995" spans="19:24" x14ac:dyDescent="0.2">
      <c r="S995" s="1"/>
      <c r="T995" s="1"/>
      <c r="U995" s="1"/>
      <c r="V995" s="1"/>
      <c r="W995" s="1"/>
      <c r="X995" s="1"/>
    </row>
    <row r="996" spans="19:24" x14ac:dyDescent="0.2">
      <c r="S996" s="1"/>
      <c r="T996" s="1"/>
      <c r="U996" s="1"/>
      <c r="V996" s="1"/>
      <c r="W996" s="1"/>
      <c r="X996" s="1"/>
    </row>
    <row r="997" spans="19:24" x14ac:dyDescent="0.2">
      <c r="S997" s="1"/>
      <c r="T997" s="1"/>
      <c r="U997" s="1"/>
      <c r="V997" s="1"/>
      <c r="W997" s="1"/>
      <c r="X997" s="1"/>
    </row>
    <row r="998" spans="19:24" x14ac:dyDescent="0.2">
      <c r="S998" s="1"/>
      <c r="T998" s="1"/>
      <c r="U998" s="1"/>
      <c r="V998" s="1"/>
      <c r="W998" s="1"/>
      <c r="X998" s="1"/>
    </row>
    <row r="999" spans="19:24" x14ac:dyDescent="0.2">
      <c r="S999" s="1"/>
      <c r="T999" s="1"/>
      <c r="U999" s="1"/>
      <c r="V999" s="1"/>
      <c r="W999" s="1"/>
      <c r="X999" s="1"/>
    </row>
    <row r="1000" spans="19:24" x14ac:dyDescent="0.2">
      <c r="S1000" s="1"/>
      <c r="T1000" s="1"/>
      <c r="U1000" s="1"/>
      <c r="V1000" s="1"/>
      <c r="W1000" s="1"/>
      <c r="X1000" s="1"/>
    </row>
    <row r="1001" spans="19:24" x14ac:dyDescent="0.2">
      <c r="S1001" s="1"/>
      <c r="T1001" s="1"/>
      <c r="U1001" s="1"/>
      <c r="V1001" s="1"/>
      <c r="W1001" s="1"/>
      <c r="X1001" s="1"/>
    </row>
    <row r="1002" spans="19:24" x14ac:dyDescent="0.2">
      <c r="S1002" s="1"/>
      <c r="T1002" s="1"/>
      <c r="U1002" s="1"/>
      <c r="V1002" s="1"/>
      <c r="W1002" s="1"/>
      <c r="X1002" s="1"/>
    </row>
    <row r="1003" spans="19:24" x14ac:dyDescent="0.2">
      <c r="S1003" s="1"/>
      <c r="T1003" s="1"/>
      <c r="U1003" s="1"/>
      <c r="V1003" s="1"/>
      <c r="W1003" s="1"/>
      <c r="X1003" s="1"/>
    </row>
    <row r="1004" spans="19:24" x14ac:dyDescent="0.2">
      <c r="S1004" s="1"/>
      <c r="T1004" s="1"/>
      <c r="U1004" s="1"/>
      <c r="V1004" s="1"/>
      <c r="W1004" s="1"/>
      <c r="X1004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CEC25-222D-4312-9C7D-E4090CC3521D}">
  <dimension ref="B1:R1382"/>
  <sheetViews>
    <sheetView showGridLines="0" tabSelected="1" zoomScale="140" workbookViewId="0">
      <selection activeCell="N9" sqref="N9"/>
    </sheetView>
  </sheetViews>
  <sheetFormatPr baseColWidth="10" defaultColWidth="8.83203125" defaultRowHeight="15" x14ac:dyDescent="0.2"/>
  <cols>
    <col min="2" max="2" width="12.83203125" customWidth="1"/>
    <col min="3" max="3" width="6" customWidth="1"/>
    <col min="13" max="13" width="10.1640625" customWidth="1"/>
    <col min="14" max="14" width="10.6640625" customWidth="1"/>
  </cols>
  <sheetData>
    <row r="1" spans="2:18" ht="16" thickBot="1" x14ac:dyDescent="0.25"/>
    <row r="2" spans="2:18" ht="16" thickBot="1" x14ac:dyDescent="0.25">
      <c r="B2" s="3" t="s">
        <v>32</v>
      </c>
      <c r="M2" s="22" t="s">
        <v>64</v>
      </c>
    </row>
    <row r="3" spans="2:18" x14ac:dyDescent="0.2">
      <c r="D3" s="7" t="s">
        <v>18</v>
      </c>
      <c r="E3" s="7" t="s">
        <v>41</v>
      </c>
      <c r="F3" s="7" t="s">
        <v>44</v>
      </c>
      <c r="G3" s="7" t="s">
        <v>19</v>
      </c>
      <c r="H3" s="7" t="s">
        <v>20</v>
      </c>
      <c r="I3" s="7" t="s">
        <v>21</v>
      </c>
      <c r="J3" s="7" t="s">
        <v>22</v>
      </c>
      <c r="K3" s="7" t="s">
        <v>23</v>
      </c>
      <c r="L3" s="7"/>
      <c r="M3" s="23" t="s">
        <v>65</v>
      </c>
      <c r="N3" s="24" t="s">
        <v>67</v>
      </c>
      <c r="O3" s="25"/>
      <c r="P3" s="26"/>
      <c r="Q3" s="7"/>
      <c r="R3" s="1"/>
    </row>
    <row r="4" spans="2:18" ht="16" thickBot="1" x14ac:dyDescent="0.25">
      <c r="B4" t="s">
        <v>31</v>
      </c>
      <c r="D4" s="1">
        <f>AVERAGE(D13:D1012)*DD</f>
        <v>99.817541490598529</v>
      </c>
      <c r="E4" s="1">
        <f>AVERAGE(E13:E1012)*DD</f>
        <v>-9.9992106516542307</v>
      </c>
      <c r="F4" s="1">
        <f>D4+E4</f>
        <v>89.818330838944291</v>
      </c>
      <c r="G4" s="1">
        <f>AVERAGE(G13:G1012)*DD</f>
        <v>0</v>
      </c>
      <c r="H4" s="1">
        <f>AVERAGE(H13:H1012)*DD</f>
        <v>76.098353960057125</v>
      </c>
      <c r="I4" s="1">
        <f>AVERAGE(I13:I1012)*DD</f>
        <v>8.2319861273322399</v>
      </c>
      <c r="J4" s="1">
        <f>AVERAGE(J13:J1012)*DD</f>
        <v>5.4879907515548263</v>
      </c>
      <c r="K4" s="1">
        <f>AVERAGE(K13:K1012)*DD</f>
        <v>89.818330838944291</v>
      </c>
      <c r="L4" s="1"/>
      <c r="M4" s="27" t="s">
        <v>66</v>
      </c>
      <c r="N4" s="28" t="s">
        <v>68</v>
      </c>
      <c r="O4" s="29"/>
      <c r="P4" s="30"/>
      <c r="Q4" s="3"/>
    </row>
    <row r="5" spans="2:18" x14ac:dyDescent="0.2">
      <c r="B5" t="s">
        <v>33</v>
      </c>
      <c r="D5" s="1">
        <f>STDEV(D13:D1012)/SQRT(1000)*2*DD</f>
        <v>4.0870400840068299</v>
      </c>
      <c r="E5" s="1">
        <f>STDEV(E13:E1012)/SQRT(1000)*2*DD</f>
        <v>2.252655790201147</v>
      </c>
      <c r="F5" s="1">
        <f>D5+E5</f>
        <v>6.339695874207977</v>
      </c>
      <c r="G5" s="1">
        <f>STDEV(G13:G1012)/SQRT(1000)*2*DD</f>
        <v>0</v>
      </c>
      <c r="H5" s="1">
        <f>STDEV(H13:H1012)/SQRT(1000)*2*DD</f>
        <v>0</v>
      </c>
      <c r="I5" s="1">
        <f>STDEV(I13:I1012)/SQRT(1000)*2*DD</f>
        <v>1.5244790567766937</v>
      </c>
      <c r="J5" s="1">
        <f>STDEV(J13:J1012)/SQRT(1000)*2*DD</f>
        <v>1.0163193711844627</v>
      </c>
      <c r="K5" s="1">
        <f>STDEV(K13:K1012)/SQRT(1000)*2*DD</f>
        <v>2.5407984279611435</v>
      </c>
      <c r="L5" s="1"/>
      <c r="M5" s="3"/>
      <c r="N5" s="3"/>
      <c r="O5" s="3"/>
      <c r="P5" s="3"/>
      <c r="Q5" s="3"/>
      <c r="R5" s="2"/>
    </row>
    <row r="6" spans="2:18" x14ac:dyDescent="0.2">
      <c r="M6" s="3"/>
      <c r="N6" s="3"/>
      <c r="O6" s="3"/>
      <c r="P6" s="3"/>
      <c r="Q6" s="3"/>
    </row>
    <row r="7" spans="2:18" x14ac:dyDescent="0.2">
      <c r="D7" t="s">
        <v>63</v>
      </c>
      <c r="E7">
        <v>-60.016413459277487</v>
      </c>
      <c r="H7" t="s">
        <v>46</v>
      </c>
      <c r="K7" s="1">
        <f>H4+I4</f>
        <v>84.330340087389359</v>
      </c>
      <c r="M7" s="3"/>
      <c r="N7" s="3"/>
      <c r="O7" s="3"/>
      <c r="P7" s="3"/>
      <c r="Q7" s="3"/>
    </row>
    <row r="8" spans="2:18" x14ac:dyDescent="0.2">
      <c r="M8" s="3"/>
      <c r="N8" s="3"/>
      <c r="O8" s="3"/>
      <c r="P8" s="3"/>
      <c r="Q8" s="3"/>
    </row>
    <row r="9" spans="2:18" x14ac:dyDescent="0.2">
      <c r="C9" s="3" t="s">
        <v>45</v>
      </c>
      <c r="M9" s="3"/>
      <c r="N9" s="3"/>
      <c r="O9" s="3"/>
      <c r="P9" s="3"/>
      <c r="Q9" s="3"/>
    </row>
    <row r="10" spans="2:18" x14ac:dyDescent="0.2">
      <c r="M10" s="3"/>
      <c r="N10" s="3"/>
      <c r="O10" s="3"/>
      <c r="P10" s="3"/>
      <c r="Q10" s="3"/>
    </row>
    <row r="11" spans="2:18" x14ac:dyDescent="0.2">
      <c r="D11" s="7" t="s">
        <v>18</v>
      </c>
      <c r="E11" s="7" t="s">
        <v>42</v>
      </c>
      <c r="F11" s="7" t="s">
        <v>44</v>
      </c>
      <c r="G11" s="7" t="s">
        <v>19</v>
      </c>
      <c r="H11" s="7" t="s">
        <v>20</v>
      </c>
      <c r="I11" s="7" t="s">
        <v>21</v>
      </c>
      <c r="J11" s="7" t="s">
        <v>22</v>
      </c>
      <c r="K11" s="7" t="s">
        <v>23</v>
      </c>
      <c r="L11" s="7"/>
      <c r="M11" s="3"/>
      <c r="N11" s="3"/>
      <c r="O11" s="3"/>
      <c r="P11" s="3"/>
      <c r="Q11" s="3"/>
      <c r="R11" s="7"/>
    </row>
    <row r="12" spans="2:18" x14ac:dyDescent="0.2">
      <c r="C12" s="6" t="s">
        <v>3</v>
      </c>
      <c r="D12" s="6" t="s">
        <v>4</v>
      </c>
      <c r="E12" s="6" t="s">
        <v>43</v>
      </c>
      <c r="F12" s="6" t="s">
        <v>47</v>
      </c>
      <c r="G12" s="6" t="s">
        <v>14</v>
      </c>
      <c r="H12" s="6" t="s">
        <v>6</v>
      </c>
      <c r="I12" s="6" t="s">
        <v>9</v>
      </c>
      <c r="J12" s="6" t="s">
        <v>10</v>
      </c>
      <c r="K12" s="6" t="s">
        <v>11</v>
      </c>
      <c r="L12" s="6"/>
      <c r="M12" s="3"/>
      <c r="N12" s="3"/>
      <c r="O12" s="3"/>
      <c r="P12" s="3"/>
      <c r="Q12" s="3"/>
      <c r="R12" s="6"/>
    </row>
    <row r="13" spans="2:18" x14ac:dyDescent="0.2">
      <c r="B13">
        <v>1</v>
      </c>
      <c r="C13" s="1">
        <v>-3.6403536615946219</v>
      </c>
      <c r="D13" s="1">
        <f>a0*EXP((RR-0.5*sigma^2)*T+sigma*SQRT(T)*C13)</f>
        <v>9.8844022959314195</v>
      </c>
      <c r="E13" s="18">
        <f t="shared" ref="E13:E76" si="0">IF(AND(D13&gt;=0, D13&lt;F), F-D13, IF(D13&gt;=F, $E$7, 0))</f>
        <v>70.115597704068577</v>
      </c>
      <c r="F13" s="1">
        <f>D13+E13</f>
        <v>80</v>
      </c>
      <c r="G13" s="9">
        <f>IF(F13&lt;F,MIN(disc,F13),0)</f>
        <v>0</v>
      </c>
      <c r="H13" s="9">
        <f>IF(F13&gt;=F,F,F13-G13)</f>
        <v>80</v>
      </c>
      <c r="I13" s="9">
        <f t="shared" ref="I13:I76" si="1">(1-tax)*(F13-G13-H13)</f>
        <v>0</v>
      </c>
      <c r="J13" s="9">
        <f t="shared" ref="J13:J76" si="2">tax*(F13-G13-H13)</f>
        <v>0</v>
      </c>
      <c r="K13" s="1">
        <f>SUM(G13:J13)</f>
        <v>80</v>
      </c>
      <c r="L13" s="1"/>
      <c r="M13" s="3"/>
      <c r="N13" s="3"/>
      <c r="O13" s="3"/>
      <c r="P13" s="3"/>
      <c r="Q13" s="3"/>
      <c r="R13" s="1"/>
    </row>
    <row r="14" spans="2:18" x14ac:dyDescent="0.2">
      <c r="B14">
        <v>2</v>
      </c>
      <c r="C14" s="1">
        <v>-3.1936172680523214</v>
      </c>
      <c r="D14" s="1">
        <f t="shared" ref="D14:D76" si="3">a0*EXP((RR-0.5*sigma^2)*T+sigma*SQRT(T)*C14)</f>
        <v>12.922885704500562</v>
      </c>
      <c r="E14" s="18">
        <f t="shared" si="0"/>
        <v>67.077114295499442</v>
      </c>
      <c r="F14" s="1">
        <f t="shared" ref="F14:F77" si="4">D14+E14</f>
        <v>80</v>
      </c>
      <c r="G14" s="9">
        <f t="shared" ref="G14:G76" si="5">IF(F14&lt;F,MIN(disc,F14),0)</f>
        <v>0</v>
      </c>
      <c r="H14" s="9">
        <f t="shared" ref="H14:H76" si="6">IF(F14&gt;=F,F,F14-G14)</f>
        <v>80</v>
      </c>
      <c r="I14" s="9">
        <f t="shared" si="1"/>
        <v>0</v>
      </c>
      <c r="J14" s="9">
        <f t="shared" si="2"/>
        <v>0</v>
      </c>
      <c r="K14" s="1">
        <f t="shared" ref="K14:K77" si="7">SUM(G14:J14)</f>
        <v>80</v>
      </c>
      <c r="L14" s="1"/>
      <c r="M14" s="3"/>
      <c r="N14" s="3"/>
      <c r="O14" s="3"/>
      <c r="P14" s="3"/>
      <c r="Q14" s="3"/>
      <c r="R14" s="1"/>
    </row>
    <row r="15" spans="2:18" x14ac:dyDescent="0.2">
      <c r="B15">
        <v>3</v>
      </c>
      <c r="C15" s="1">
        <v>-3.133279111363418</v>
      </c>
      <c r="D15" s="1">
        <f t="shared" si="3"/>
        <v>13.399303381764524</v>
      </c>
      <c r="E15" s="18">
        <f t="shared" si="0"/>
        <v>66.600696618235474</v>
      </c>
      <c r="F15" s="1">
        <f t="shared" si="4"/>
        <v>80</v>
      </c>
      <c r="G15" s="9">
        <f t="shared" si="5"/>
        <v>0</v>
      </c>
      <c r="H15" s="9">
        <f t="shared" si="6"/>
        <v>80</v>
      </c>
      <c r="I15" s="9">
        <f t="shared" si="1"/>
        <v>0</v>
      </c>
      <c r="J15" s="9">
        <f t="shared" si="2"/>
        <v>0</v>
      </c>
      <c r="K15" s="1">
        <f t="shared" si="7"/>
        <v>80</v>
      </c>
      <c r="L15" s="1"/>
      <c r="M15" s="3"/>
      <c r="N15" s="3"/>
      <c r="O15" s="3"/>
      <c r="P15" s="3"/>
      <c r="Q15" s="3"/>
      <c r="R15" s="1"/>
    </row>
    <row r="16" spans="2:18" x14ac:dyDescent="0.2">
      <c r="B16">
        <v>4</v>
      </c>
      <c r="C16" s="1">
        <v>-2.8889332982090288</v>
      </c>
      <c r="D16" s="1">
        <f t="shared" si="3"/>
        <v>15.515045135719213</v>
      </c>
      <c r="E16" s="18">
        <f t="shared" si="0"/>
        <v>64.48495486428078</v>
      </c>
      <c r="F16" s="1">
        <f t="shared" si="4"/>
        <v>80</v>
      </c>
      <c r="G16" s="9">
        <f t="shared" si="5"/>
        <v>0</v>
      </c>
      <c r="H16" s="9">
        <f t="shared" si="6"/>
        <v>80</v>
      </c>
      <c r="I16" s="9">
        <f t="shared" si="1"/>
        <v>0</v>
      </c>
      <c r="J16" s="9">
        <f t="shared" si="2"/>
        <v>0</v>
      </c>
      <c r="K16" s="1">
        <f t="shared" si="7"/>
        <v>80</v>
      </c>
      <c r="L16" s="1"/>
      <c r="M16" s="3"/>
      <c r="N16" s="3"/>
      <c r="O16" s="3"/>
      <c r="P16" s="3"/>
      <c r="Q16" s="3"/>
      <c r="R16" s="1"/>
    </row>
    <row r="17" spans="2:18" x14ac:dyDescent="0.2">
      <c r="B17">
        <v>5</v>
      </c>
      <c r="C17" s="1">
        <v>-2.660589142034933</v>
      </c>
      <c r="D17" s="1">
        <f t="shared" si="3"/>
        <v>17.793206030653433</v>
      </c>
      <c r="E17" s="18">
        <f t="shared" si="0"/>
        <v>62.206793969346563</v>
      </c>
      <c r="F17" s="1">
        <f t="shared" si="4"/>
        <v>80</v>
      </c>
      <c r="G17" s="9">
        <f t="shared" si="5"/>
        <v>0</v>
      </c>
      <c r="H17" s="9">
        <f t="shared" si="6"/>
        <v>80</v>
      </c>
      <c r="I17" s="9">
        <f t="shared" si="1"/>
        <v>0</v>
      </c>
      <c r="J17" s="9">
        <f t="shared" si="2"/>
        <v>0</v>
      </c>
      <c r="K17" s="1">
        <f t="shared" si="7"/>
        <v>80</v>
      </c>
      <c r="L17" s="1"/>
      <c r="M17" s="3"/>
      <c r="N17" s="3"/>
      <c r="O17" s="3"/>
      <c r="P17" s="3"/>
      <c r="Q17" s="3"/>
      <c r="R17" s="1"/>
    </row>
    <row r="18" spans="2:18" x14ac:dyDescent="0.2">
      <c r="B18">
        <v>6</v>
      </c>
      <c r="C18" s="1">
        <v>-2.6573426360102292</v>
      </c>
      <c r="D18" s="1">
        <f t="shared" si="3"/>
        <v>17.827899259563036</v>
      </c>
      <c r="E18" s="18">
        <f t="shared" si="0"/>
        <v>62.17210074043696</v>
      </c>
      <c r="F18" s="1">
        <f t="shared" si="4"/>
        <v>80</v>
      </c>
      <c r="G18" s="9">
        <f t="shared" si="5"/>
        <v>0</v>
      </c>
      <c r="H18" s="9">
        <f t="shared" si="6"/>
        <v>80</v>
      </c>
      <c r="I18" s="9">
        <f t="shared" si="1"/>
        <v>0</v>
      </c>
      <c r="J18" s="9">
        <f t="shared" si="2"/>
        <v>0</v>
      </c>
      <c r="K18" s="1">
        <f t="shared" si="7"/>
        <v>80</v>
      </c>
      <c r="L18" s="1"/>
      <c r="M18" s="3"/>
      <c r="N18" s="3"/>
      <c r="O18" s="3"/>
      <c r="P18" s="3"/>
      <c r="Q18" s="3"/>
      <c r="R18" s="1"/>
    </row>
    <row r="19" spans="2:18" x14ac:dyDescent="0.2">
      <c r="B19">
        <v>7</v>
      </c>
      <c r="C19" s="1">
        <v>-2.581076133002449</v>
      </c>
      <c r="D19" s="1">
        <f t="shared" si="3"/>
        <v>18.66265570788357</v>
      </c>
      <c r="E19" s="18">
        <f t="shared" si="0"/>
        <v>61.337344292116427</v>
      </c>
      <c r="F19" s="1">
        <f t="shared" si="4"/>
        <v>80</v>
      </c>
      <c r="G19" s="9">
        <f t="shared" si="5"/>
        <v>0</v>
      </c>
      <c r="H19" s="9">
        <f t="shared" si="6"/>
        <v>80</v>
      </c>
      <c r="I19" s="9">
        <f t="shared" si="1"/>
        <v>0</v>
      </c>
      <c r="J19" s="9">
        <f t="shared" si="2"/>
        <v>0</v>
      </c>
      <c r="K19" s="1">
        <f t="shared" si="7"/>
        <v>80</v>
      </c>
      <c r="L19" s="1"/>
      <c r="M19" s="3"/>
      <c r="N19" s="3"/>
      <c r="O19" s="3"/>
      <c r="P19" s="3"/>
      <c r="Q19" s="3"/>
      <c r="R19" s="1"/>
    </row>
    <row r="20" spans="2:18" x14ac:dyDescent="0.2">
      <c r="B20">
        <v>8</v>
      </c>
      <c r="C20" s="1">
        <v>-2.4412776193025043</v>
      </c>
      <c r="D20" s="1">
        <f t="shared" si="3"/>
        <v>20.295589864800604</v>
      </c>
      <c r="E20" s="18">
        <f t="shared" si="0"/>
        <v>59.704410135199396</v>
      </c>
      <c r="F20" s="1">
        <f t="shared" si="4"/>
        <v>80</v>
      </c>
      <c r="G20" s="9">
        <f t="shared" si="5"/>
        <v>0</v>
      </c>
      <c r="H20" s="9">
        <f t="shared" si="6"/>
        <v>80</v>
      </c>
      <c r="I20" s="9">
        <f t="shared" si="1"/>
        <v>0</v>
      </c>
      <c r="J20" s="9">
        <f t="shared" si="2"/>
        <v>0</v>
      </c>
      <c r="K20" s="1">
        <f t="shared" si="7"/>
        <v>80</v>
      </c>
      <c r="L20" s="1"/>
      <c r="M20" s="3"/>
      <c r="N20" s="3"/>
      <c r="O20" s="3"/>
      <c r="P20" s="3"/>
      <c r="Q20" s="3"/>
      <c r="R20" s="1"/>
    </row>
    <row r="21" spans="2:18" x14ac:dyDescent="0.2">
      <c r="B21">
        <v>9</v>
      </c>
      <c r="C21" s="1">
        <v>-2.4191530609804612</v>
      </c>
      <c r="D21" s="1">
        <f t="shared" si="3"/>
        <v>20.566804610982985</v>
      </c>
      <c r="E21" s="18">
        <f t="shared" si="0"/>
        <v>59.433195389017015</v>
      </c>
      <c r="F21" s="1">
        <f t="shared" si="4"/>
        <v>80</v>
      </c>
      <c r="G21" s="9">
        <f t="shared" si="5"/>
        <v>0</v>
      </c>
      <c r="H21" s="9">
        <f t="shared" si="6"/>
        <v>80</v>
      </c>
      <c r="I21" s="9">
        <f t="shared" si="1"/>
        <v>0</v>
      </c>
      <c r="J21" s="9">
        <f t="shared" si="2"/>
        <v>0</v>
      </c>
      <c r="K21" s="1">
        <f t="shared" si="7"/>
        <v>80</v>
      </c>
      <c r="L21" s="1"/>
      <c r="M21" s="3"/>
      <c r="N21" s="3"/>
      <c r="O21" s="3"/>
      <c r="P21" s="3"/>
      <c r="Q21" s="3"/>
      <c r="R21" s="1"/>
    </row>
    <row r="22" spans="2:18" x14ac:dyDescent="0.2">
      <c r="B22">
        <v>10</v>
      </c>
      <c r="C22" s="1">
        <v>-2.3947738866983896</v>
      </c>
      <c r="D22" s="1">
        <f t="shared" si="3"/>
        <v>20.869856683696604</v>
      </c>
      <c r="E22" s="18">
        <f t="shared" si="0"/>
        <v>59.130143316303396</v>
      </c>
      <c r="F22" s="1">
        <f t="shared" si="4"/>
        <v>80</v>
      </c>
      <c r="G22" s="9">
        <f t="shared" si="5"/>
        <v>0</v>
      </c>
      <c r="H22" s="9">
        <f t="shared" si="6"/>
        <v>80</v>
      </c>
      <c r="I22" s="9">
        <f t="shared" si="1"/>
        <v>0</v>
      </c>
      <c r="J22" s="9">
        <f t="shared" si="2"/>
        <v>0</v>
      </c>
      <c r="K22" s="1">
        <f t="shared" si="7"/>
        <v>80</v>
      </c>
      <c r="L22" s="1"/>
      <c r="M22" s="3"/>
      <c r="N22" s="3"/>
      <c r="O22" s="3"/>
      <c r="P22" s="3"/>
      <c r="Q22" s="3"/>
      <c r="R22" s="1"/>
    </row>
    <row r="23" spans="2:18" x14ac:dyDescent="0.2">
      <c r="B23">
        <v>11</v>
      </c>
      <c r="C23" s="1">
        <v>-2.3860924015349321</v>
      </c>
      <c r="D23" s="1">
        <f t="shared" si="3"/>
        <v>20.978849112804536</v>
      </c>
      <c r="E23" s="18">
        <f t="shared" si="0"/>
        <v>59.021150887195461</v>
      </c>
      <c r="F23" s="1">
        <f t="shared" si="4"/>
        <v>80</v>
      </c>
      <c r="G23" s="9">
        <f t="shared" si="5"/>
        <v>0</v>
      </c>
      <c r="H23" s="9">
        <f t="shared" si="6"/>
        <v>80</v>
      </c>
      <c r="I23" s="9">
        <f t="shared" si="1"/>
        <v>0</v>
      </c>
      <c r="J23" s="9">
        <f t="shared" si="2"/>
        <v>0</v>
      </c>
      <c r="K23" s="1">
        <f t="shared" si="7"/>
        <v>80</v>
      </c>
      <c r="L23" s="1"/>
      <c r="M23" s="3"/>
      <c r="N23" s="3"/>
      <c r="O23" s="3"/>
      <c r="P23" s="3"/>
      <c r="Q23" s="3"/>
      <c r="R23" s="1"/>
    </row>
    <row r="24" spans="2:18" x14ac:dyDescent="0.2">
      <c r="B24">
        <v>12</v>
      </c>
      <c r="C24" s="1">
        <v>-2.3594465558597837</v>
      </c>
      <c r="D24" s="1">
        <f t="shared" si="3"/>
        <v>21.31694406471653</v>
      </c>
      <c r="E24" s="18">
        <f t="shared" si="0"/>
        <v>58.68305593528347</v>
      </c>
      <c r="F24" s="1">
        <f t="shared" si="4"/>
        <v>80</v>
      </c>
      <c r="G24" s="9">
        <f t="shared" si="5"/>
        <v>0</v>
      </c>
      <c r="H24" s="9">
        <f t="shared" si="6"/>
        <v>80</v>
      </c>
      <c r="I24" s="9">
        <f t="shared" si="1"/>
        <v>0</v>
      </c>
      <c r="J24" s="9">
        <f t="shared" si="2"/>
        <v>0</v>
      </c>
      <c r="K24" s="1">
        <f t="shared" si="7"/>
        <v>80</v>
      </c>
      <c r="L24" s="1"/>
      <c r="M24" s="3"/>
      <c r="N24" s="3"/>
      <c r="O24" s="3"/>
      <c r="P24" s="3"/>
      <c r="Q24" s="3"/>
      <c r="R24" s="1"/>
    </row>
    <row r="25" spans="2:18" x14ac:dyDescent="0.2">
      <c r="B25">
        <v>13</v>
      </c>
      <c r="C25" s="1">
        <v>-2.3548792609962756</v>
      </c>
      <c r="D25" s="1">
        <f t="shared" si="3"/>
        <v>21.375440640922154</v>
      </c>
      <c r="E25" s="18">
        <f t="shared" si="0"/>
        <v>58.62455935907785</v>
      </c>
      <c r="F25" s="1">
        <f t="shared" si="4"/>
        <v>80</v>
      </c>
      <c r="G25" s="9">
        <f t="shared" si="5"/>
        <v>0</v>
      </c>
      <c r="H25" s="9">
        <f t="shared" si="6"/>
        <v>80</v>
      </c>
      <c r="I25" s="9">
        <f t="shared" si="1"/>
        <v>0</v>
      </c>
      <c r="J25" s="9">
        <f t="shared" si="2"/>
        <v>0</v>
      </c>
      <c r="K25" s="1">
        <f t="shared" si="7"/>
        <v>80</v>
      </c>
      <c r="L25" s="1"/>
      <c r="M25" s="3"/>
      <c r="N25" s="3"/>
      <c r="O25" s="3"/>
      <c r="P25" s="3"/>
      <c r="Q25" s="3"/>
      <c r="R25" s="1"/>
    </row>
    <row r="26" spans="2:18" x14ac:dyDescent="0.2">
      <c r="B26">
        <v>14</v>
      </c>
      <c r="C26" s="1">
        <v>-2.3224792025984957</v>
      </c>
      <c r="D26" s="1">
        <f t="shared" si="3"/>
        <v>21.795045306155703</v>
      </c>
      <c r="E26" s="18">
        <f t="shared" si="0"/>
        <v>58.2049546938443</v>
      </c>
      <c r="F26" s="1">
        <f t="shared" si="4"/>
        <v>80</v>
      </c>
      <c r="G26" s="9">
        <f t="shared" si="5"/>
        <v>0</v>
      </c>
      <c r="H26" s="9">
        <f t="shared" si="6"/>
        <v>80</v>
      </c>
      <c r="I26" s="9">
        <f t="shared" si="1"/>
        <v>0</v>
      </c>
      <c r="J26" s="9">
        <f t="shared" si="2"/>
        <v>0</v>
      </c>
      <c r="K26" s="1">
        <f t="shared" si="7"/>
        <v>80</v>
      </c>
      <c r="L26" s="1"/>
      <c r="M26" s="3"/>
      <c r="N26" s="3"/>
      <c r="O26" s="3"/>
      <c r="P26" s="3"/>
      <c r="Q26" s="3"/>
      <c r="R26" s="1"/>
    </row>
    <row r="27" spans="2:18" x14ac:dyDescent="0.2">
      <c r="B27">
        <v>15</v>
      </c>
      <c r="C27" s="1">
        <v>-2.3166189337531033</v>
      </c>
      <c r="D27" s="1">
        <f t="shared" si="3"/>
        <v>21.871815089527029</v>
      </c>
      <c r="E27" s="18">
        <f t="shared" si="0"/>
        <v>58.128184910472967</v>
      </c>
      <c r="F27" s="1">
        <f t="shared" si="4"/>
        <v>80</v>
      </c>
      <c r="G27" s="9">
        <f t="shared" si="5"/>
        <v>0</v>
      </c>
      <c r="H27" s="9">
        <f t="shared" si="6"/>
        <v>80</v>
      </c>
      <c r="I27" s="9">
        <f t="shared" si="1"/>
        <v>0</v>
      </c>
      <c r="J27" s="9">
        <f t="shared" si="2"/>
        <v>0</v>
      </c>
      <c r="K27" s="1">
        <f t="shared" si="7"/>
        <v>80</v>
      </c>
      <c r="L27" s="1"/>
      <c r="M27" s="3"/>
      <c r="N27" s="3"/>
      <c r="O27" s="3"/>
      <c r="P27" s="3"/>
      <c r="Q27" s="3"/>
      <c r="R27" s="1"/>
    </row>
    <row r="28" spans="2:18" x14ac:dyDescent="0.2">
      <c r="B28">
        <v>16</v>
      </c>
      <c r="C28" s="1">
        <v>-2.3116408114068703</v>
      </c>
      <c r="D28" s="1">
        <f t="shared" si="3"/>
        <v>21.937241093351414</v>
      </c>
      <c r="E28" s="18">
        <f t="shared" si="0"/>
        <v>58.062758906648583</v>
      </c>
      <c r="F28" s="1">
        <f t="shared" si="4"/>
        <v>80</v>
      </c>
      <c r="G28" s="9">
        <f t="shared" si="5"/>
        <v>0</v>
      </c>
      <c r="H28" s="9">
        <f t="shared" si="6"/>
        <v>80</v>
      </c>
      <c r="I28" s="9">
        <f t="shared" si="1"/>
        <v>0</v>
      </c>
      <c r="J28" s="9">
        <f t="shared" si="2"/>
        <v>0</v>
      </c>
      <c r="K28" s="1">
        <f t="shared" si="7"/>
        <v>80</v>
      </c>
      <c r="L28" s="1"/>
      <c r="M28" s="3"/>
      <c r="N28" s="3"/>
      <c r="O28" s="3"/>
      <c r="P28" s="3"/>
      <c r="Q28" s="3"/>
      <c r="R28" s="1"/>
    </row>
    <row r="29" spans="2:18" x14ac:dyDescent="0.2">
      <c r="B29">
        <v>17</v>
      </c>
      <c r="C29" s="1">
        <v>-2.2820230593684605</v>
      </c>
      <c r="D29" s="1">
        <f t="shared" si="3"/>
        <v>22.330564610356717</v>
      </c>
      <c r="E29" s="18">
        <f t="shared" si="0"/>
        <v>57.669435389643283</v>
      </c>
      <c r="F29" s="1">
        <f t="shared" si="4"/>
        <v>80</v>
      </c>
      <c r="G29" s="9">
        <f t="shared" si="5"/>
        <v>0</v>
      </c>
      <c r="H29" s="9">
        <f t="shared" si="6"/>
        <v>80</v>
      </c>
      <c r="I29" s="9">
        <f t="shared" si="1"/>
        <v>0</v>
      </c>
      <c r="J29" s="9">
        <f t="shared" si="2"/>
        <v>0</v>
      </c>
      <c r="K29" s="1">
        <f t="shared" si="7"/>
        <v>80</v>
      </c>
      <c r="L29" s="1"/>
      <c r="M29" s="3"/>
      <c r="N29" s="3"/>
      <c r="O29" s="3"/>
      <c r="P29" s="3"/>
      <c r="Q29" s="3"/>
      <c r="R29" s="1"/>
    </row>
    <row r="30" spans="2:18" x14ac:dyDescent="0.2">
      <c r="B30">
        <v>18</v>
      </c>
      <c r="C30" s="1">
        <v>-2.2176100010640116</v>
      </c>
      <c r="D30" s="1">
        <f t="shared" si="3"/>
        <v>23.210486604220915</v>
      </c>
      <c r="E30" s="18">
        <f t="shared" si="0"/>
        <v>56.789513395779082</v>
      </c>
      <c r="F30" s="1">
        <f t="shared" si="4"/>
        <v>80</v>
      </c>
      <c r="G30" s="9">
        <f t="shared" si="5"/>
        <v>0</v>
      </c>
      <c r="H30" s="9">
        <f t="shared" si="6"/>
        <v>80</v>
      </c>
      <c r="I30" s="9">
        <f t="shared" si="1"/>
        <v>0</v>
      </c>
      <c r="J30" s="9">
        <f t="shared" si="2"/>
        <v>0</v>
      </c>
      <c r="K30" s="1">
        <f t="shared" si="7"/>
        <v>80</v>
      </c>
      <c r="L30" s="1"/>
      <c r="M30" s="3"/>
      <c r="N30" s="3"/>
      <c r="O30" s="3"/>
      <c r="P30" s="3"/>
      <c r="Q30" s="3"/>
      <c r="R30" s="1"/>
    </row>
    <row r="31" spans="2:18" x14ac:dyDescent="0.2">
      <c r="B31">
        <v>19</v>
      </c>
      <c r="C31" s="1">
        <v>-2.173164555322578</v>
      </c>
      <c r="D31" s="1">
        <f t="shared" si="3"/>
        <v>23.837773700599911</v>
      </c>
      <c r="E31" s="18">
        <f t="shared" si="0"/>
        <v>56.162226299400089</v>
      </c>
      <c r="F31" s="1">
        <f t="shared" si="4"/>
        <v>80</v>
      </c>
      <c r="G31" s="9">
        <f t="shared" si="5"/>
        <v>0</v>
      </c>
      <c r="H31" s="9">
        <f t="shared" si="6"/>
        <v>80</v>
      </c>
      <c r="I31" s="9">
        <f t="shared" si="1"/>
        <v>0</v>
      </c>
      <c r="J31" s="9">
        <f t="shared" si="2"/>
        <v>0</v>
      </c>
      <c r="K31" s="1">
        <f t="shared" si="7"/>
        <v>80</v>
      </c>
      <c r="L31" s="1"/>
      <c r="M31" s="3"/>
      <c r="N31" s="3"/>
      <c r="O31" s="3"/>
      <c r="P31" s="3"/>
      <c r="Q31" s="3"/>
      <c r="R31" s="1"/>
    </row>
    <row r="32" spans="2:18" x14ac:dyDescent="0.2">
      <c r="B32">
        <v>20</v>
      </c>
      <c r="C32" s="1">
        <v>-2.1552437083013256</v>
      </c>
      <c r="D32" s="1">
        <f t="shared" si="3"/>
        <v>24.095472529630278</v>
      </c>
      <c r="E32" s="18">
        <f t="shared" si="0"/>
        <v>55.904527470369722</v>
      </c>
      <c r="F32" s="1">
        <f t="shared" si="4"/>
        <v>80</v>
      </c>
      <c r="G32" s="9">
        <f t="shared" si="5"/>
        <v>0</v>
      </c>
      <c r="H32" s="9">
        <f t="shared" si="6"/>
        <v>80</v>
      </c>
      <c r="I32" s="9">
        <f t="shared" si="1"/>
        <v>0</v>
      </c>
      <c r="J32" s="9">
        <f t="shared" si="2"/>
        <v>0</v>
      </c>
      <c r="K32" s="1">
        <f t="shared" si="7"/>
        <v>80</v>
      </c>
      <c r="L32" s="1"/>
      <c r="M32" s="3"/>
      <c r="N32" s="3"/>
      <c r="O32" s="3"/>
      <c r="P32" s="3"/>
      <c r="Q32" s="3"/>
      <c r="R32" s="1"/>
    </row>
    <row r="33" spans="2:18" x14ac:dyDescent="0.2">
      <c r="B33">
        <v>21</v>
      </c>
      <c r="C33" s="1">
        <v>-2.094244848492814</v>
      </c>
      <c r="D33" s="1">
        <f t="shared" si="3"/>
        <v>24.993687097793941</v>
      </c>
      <c r="E33" s="18">
        <f t="shared" si="0"/>
        <v>55.006312902206062</v>
      </c>
      <c r="F33" s="1">
        <f t="shared" si="4"/>
        <v>80</v>
      </c>
      <c r="G33" s="9">
        <f t="shared" si="5"/>
        <v>0</v>
      </c>
      <c r="H33" s="9">
        <f t="shared" si="6"/>
        <v>80</v>
      </c>
      <c r="I33" s="9">
        <f t="shared" si="1"/>
        <v>0</v>
      </c>
      <c r="J33" s="9">
        <f t="shared" si="2"/>
        <v>0</v>
      </c>
      <c r="K33" s="1">
        <f t="shared" si="7"/>
        <v>80</v>
      </c>
      <c r="L33" s="1"/>
      <c r="M33" s="3"/>
      <c r="N33" s="3"/>
      <c r="O33" s="3"/>
      <c r="P33" s="3"/>
      <c r="Q33" s="3"/>
      <c r="R33" s="1"/>
    </row>
    <row r="34" spans="2:18" x14ac:dyDescent="0.2">
      <c r="B34">
        <v>22</v>
      </c>
      <c r="C34" s="1">
        <v>-2.0200445484662453</v>
      </c>
      <c r="D34" s="1">
        <f t="shared" si="3"/>
        <v>26.13155157689409</v>
      </c>
      <c r="E34" s="18">
        <f t="shared" si="0"/>
        <v>53.86844842310591</v>
      </c>
      <c r="F34" s="1">
        <f t="shared" si="4"/>
        <v>80</v>
      </c>
      <c r="G34" s="9">
        <f t="shared" si="5"/>
        <v>0</v>
      </c>
      <c r="H34" s="9">
        <f t="shared" si="6"/>
        <v>80</v>
      </c>
      <c r="I34" s="9">
        <f t="shared" si="1"/>
        <v>0</v>
      </c>
      <c r="J34" s="9">
        <f t="shared" si="2"/>
        <v>0</v>
      </c>
      <c r="K34" s="1">
        <f t="shared" si="7"/>
        <v>80</v>
      </c>
      <c r="L34" s="1"/>
      <c r="M34" s="3"/>
      <c r="N34" s="3"/>
      <c r="O34" s="3"/>
      <c r="P34" s="3"/>
      <c r="Q34" s="3"/>
      <c r="R34" s="1"/>
    </row>
    <row r="35" spans="2:18" x14ac:dyDescent="0.2">
      <c r="B35">
        <v>23</v>
      </c>
      <c r="C35" s="1">
        <v>-2.0085367611454901</v>
      </c>
      <c r="D35" s="1">
        <f t="shared" si="3"/>
        <v>26.312605720106198</v>
      </c>
      <c r="E35" s="18">
        <f t="shared" si="0"/>
        <v>53.687394279893802</v>
      </c>
      <c r="F35" s="1">
        <f t="shared" si="4"/>
        <v>80</v>
      </c>
      <c r="G35" s="9">
        <f t="shared" si="5"/>
        <v>0</v>
      </c>
      <c r="H35" s="9">
        <f t="shared" si="6"/>
        <v>80</v>
      </c>
      <c r="I35" s="9">
        <f t="shared" si="1"/>
        <v>0</v>
      </c>
      <c r="J35" s="9">
        <f t="shared" si="2"/>
        <v>0</v>
      </c>
      <c r="K35" s="1">
        <f t="shared" si="7"/>
        <v>80</v>
      </c>
      <c r="L35" s="1"/>
      <c r="M35" s="3"/>
      <c r="N35" s="3"/>
      <c r="O35" s="3"/>
      <c r="P35" s="3"/>
      <c r="Q35" s="3"/>
      <c r="R35" s="1"/>
    </row>
    <row r="36" spans="2:18" x14ac:dyDescent="0.2">
      <c r="B36">
        <v>24</v>
      </c>
      <c r="C36" s="1">
        <v>-1.9985498571335223</v>
      </c>
      <c r="D36" s="1">
        <f t="shared" si="3"/>
        <v>26.470747932830129</v>
      </c>
      <c r="E36" s="18">
        <f t="shared" si="0"/>
        <v>53.529252067169871</v>
      </c>
      <c r="F36" s="1">
        <f t="shared" si="4"/>
        <v>80</v>
      </c>
      <c r="G36" s="9">
        <f t="shared" si="5"/>
        <v>0</v>
      </c>
      <c r="H36" s="9">
        <f t="shared" si="6"/>
        <v>80</v>
      </c>
      <c r="I36" s="9">
        <f t="shared" si="1"/>
        <v>0</v>
      </c>
      <c r="J36" s="9">
        <f t="shared" si="2"/>
        <v>0</v>
      </c>
      <c r="K36" s="1">
        <f t="shared" si="7"/>
        <v>80</v>
      </c>
      <c r="L36" s="1"/>
      <c r="M36" s="3"/>
      <c r="N36" s="3"/>
      <c r="O36" s="3"/>
      <c r="P36" s="3"/>
      <c r="Q36" s="3"/>
      <c r="R36" s="1"/>
    </row>
    <row r="37" spans="2:18" x14ac:dyDescent="0.2">
      <c r="B37">
        <v>25</v>
      </c>
      <c r="C37" s="1">
        <v>-1.9566124347313689</v>
      </c>
      <c r="D37" s="1">
        <f t="shared" si="3"/>
        <v>27.145267591078841</v>
      </c>
      <c r="E37" s="18">
        <f t="shared" si="0"/>
        <v>52.854732408921159</v>
      </c>
      <c r="F37" s="1">
        <f t="shared" si="4"/>
        <v>80</v>
      </c>
      <c r="G37" s="9">
        <f t="shared" si="5"/>
        <v>0</v>
      </c>
      <c r="H37" s="9">
        <f t="shared" si="6"/>
        <v>80</v>
      </c>
      <c r="I37" s="9">
        <f t="shared" si="1"/>
        <v>0</v>
      </c>
      <c r="J37" s="9">
        <f t="shared" si="2"/>
        <v>0</v>
      </c>
      <c r="K37" s="1">
        <f t="shared" si="7"/>
        <v>80</v>
      </c>
      <c r="L37" s="1"/>
      <c r="M37" s="3"/>
      <c r="N37" s="3"/>
      <c r="O37" s="3"/>
      <c r="P37" s="3"/>
      <c r="Q37" s="3"/>
      <c r="R37" s="1"/>
    </row>
    <row r="38" spans="2:18" x14ac:dyDescent="0.2">
      <c r="B38">
        <v>26</v>
      </c>
      <c r="C38" s="1">
        <v>-1.9501173370549685</v>
      </c>
      <c r="D38" s="1">
        <f t="shared" si="3"/>
        <v>27.251260686260725</v>
      </c>
      <c r="E38" s="18">
        <f t="shared" si="0"/>
        <v>52.748739313739279</v>
      </c>
      <c r="F38" s="1">
        <f t="shared" si="4"/>
        <v>80</v>
      </c>
      <c r="G38" s="9">
        <f t="shared" si="5"/>
        <v>0</v>
      </c>
      <c r="H38" s="9">
        <f t="shared" si="6"/>
        <v>80</v>
      </c>
      <c r="I38" s="9">
        <f t="shared" si="1"/>
        <v>0</v>
      </c>
      <c r="J38" s="9">
        <f t="shared" si="2"/>
        <v>0</v>
      </c>
      <c r="K38" s="1">
        <f t="shared" si="7"/>
        <v>80</v>
      </c>
      <c r="L38" s="1"/>
      <c r="M38" s="3"/>
      <c r="N38" s="3"/>
      <c r="O38" s="3"/>
      <c r="P38" s="3"/>
      <c r="Q38" s="3"/>
      <c r="R38" s="1"/>
    </row>
    <row r="39" spans="2:18" x14ac:dyDescent="0.2">
      <c r="B39">
        <v>27</v>
      </c>
      <c r="C39" s="1">
        <v>-1.9399080639673056</v>
      </c>
      <c r="D39" s="1">
        <f t="shared" si="3"/>
        <v>27.418702337351629</v>
      </c>
      <c r="E39" s="18">
        <f t="shared" si="0"/>
        <v>52.581297662648367</v>
      </c>
      <c r="F39" s="1">
        <f t="shared" si="4"/>
        <v>80</v>
      </c>
      <c r="G39" s="9">
        <f t="shared" si="5"/>
        <v>0</v>
      </c>
      <c r="H39" s="9">
        <f t="shared" si="6"/>
        <v>80</v>
      </c>
      <c r="I39" s="9">
        <f t="shared" si="1"/>
        <v>0</v>
      </c>
      <c r="J39" s="9">
        <f t="shared" si="2"/>
        <v>0</v>
      </c>
      <c r="K39" s="1">
        <f t="shared" si="7"/>
        <v>80</v>
      </c>
      <c r="L39" s="1"/>
      <c r="M39" s="3"/>
      <c r="N39" s="3"/>
      <c r="O39" s="3"/>
      <c r="P39" s="3"/>
      <c r="Q39" s="3"/>
      <c r="R39" s="1"/>
    </row>
    <row r="40" spans="2:18" x14ac:dyDescent="0.2">
      <c r="B40">
        <v>28</v>
      </c>
      <c r="C40" s="1">
        <v>-1.9347695302353733</v>
      </c>
      <c r="D40" s="1">
        <f t="shared" si="3"/>
        <v>27.503367943514721</v>
      </c>
      <c r="E40" s="18">
        <f t="shared" si="0"/>
        <v>52.496632056485282</v>
      </c>
      <c r="F40" s="1">
        <f t="shared" si="4"/>
        <v>80</v>
      </c>
      <c r="G40" s="9">
        <f t="shared" si="5"/>
        <v>0</v>
      </c>
      <c r="H40" s="9">
        <f t="shared" si="6"/>
        <v>80</v>
      </c>
      <c r="I40" s="9">
        <f t="shared" si="1"/>
        <v>0</v>
      </c>
      <c r="J40" s="9">
        <f t="shared" si="2"/>
        <v>0</v>
      </c>
      <c r="K40" s="1">
        <f t="shared" si="7"/>
        <v>80</v>
      </c>
      <c r="L40" s="1"/>
      <c r="M40" s="3"/>
      <c r="N40" s="3"/>
      <c r="O40" s="3"/>
      <c r="P40" s="3"/>
      <c r="Q40" s="3"/>
      <c r="R40" s="1"/>
    </row>
    <row r="41" spans="2:18" x14ac:dyDescent="0.2">
      <c r="B41">
        <v>29</v>
      </c>
      <c r="C41" s="1">
        <v>-1.9334737132646627</v>
      </c>
      <c r="D41" s="1">
        <f t="shared" si="3"/>
        <v>27.524759856998219</v>
      </c>
      <c r="E41" s="18">
        <f t="shared" si="0"/>
        <v>52.475240143001784</v>
      </c>
      <c r="F41" s="1">
        <f t="shared" si="4"/>
        <v>80</v>
      </c>
      <c r="G41" s="9">
        <f t="shared" si="5"/>
        <v>0</v>
      </c>
      <c r="H41" s="9">
        <f t="shared" si="6"/>
        <v>80</v>
      </c>
      <c r="I41" s="9">
        <f t="shared" si="1"/>
        <v>0</v>
      </c>
      <c r="J41" s="9">
        <f t="shared" si="2"/>
        <v>0</v>
      </c>
      <c r="K41" s="1">
        <f t="shared" si="7"/>
        <v>80</v>
      </c>
      <c r="L41" s="1"/>
      <c r="M41" s="3"/>
      <c r="N41" s="3"/>
      <c r="O41" s="3"/>
      <c r="P41" s="3"/>
      <c r="Q41" s="3"/>
      <c r="R41" s="1"/>
    </row>
    <row r="42" spans="2:18" x14ac:dyDescent="0.2">
      <c r="B42">
        <v>30</v>
      </c>
      <c r="C42" s="1">
        <v>-1.9201042204215006</v>
      </c>
      <c r="D42" s="1">
        <f t="shared" si="3"/>
        <v>27.746443053792287</v>
      </c>
      <c r="E42" s="18">
        <f t="shared" si="0"/>
        <v>52.253556946207709</v>
      </c>
      <c r="F42" s="1">
        <f t="shared" si="4"/>
        <v>80</v>
      </c>
      <c r="G42" s="9">
        <f t="shared" si="5"/>
        <v>0</v>
      </c>
      <c r="H42" s="9">
        <f t="shared" si="6"/>
        <v>80</v>
      </c>
      <c r="I42" s="9">
        <f t="shared" si="1"/>
        <v>0</v>
      </c>
      <c r="J42" s="9">
        <f t="shared" si="2"/>
        <v>0</v>
      </c>
      <c r="K42" s="1">
        <f t="shared" si="7"/>
        <v>80</v>
      </c>
      <c r="L42" s="1"/>
      <c r="M42" s="3"/>
      <c r="N42" s="3"/>
      <c r="O42" s="3"/>
      <c r="P42" s="3"/>
      <c r="Q42" s="3"/>
      <c r="R42" s="1"/>
    </row>
    <row r="43" spans="2:18" x14ac:dyDescent="0.2">
      <c r="B43">
        <v>31</v>
      </c>
      <c r="C43" s="1">
        <v>-1.9168620792072208</v>
      </c>
      <c r="D43" s="1">
        <f t="shared" si="3"/>
        <v>27.800470317905614</v>
      </c>
      <c r="E43" s="18">
        <f t="shared" si="0"/>
        <v>52.199529682094386</v>
      </c>
      <c r="F43" s="1">
        <f t="shared" si="4"/>
        <v>80</v>
      </c>
      <c r="G43" s="9">
        <f t="shared" si="5"/>
        <v>0</v>
      </c>
      <c r="H43" s="9">
        <f t="shared" si="6"/>
        <v>80</v>
      </c>
      <c r="I43" s="9">
        <f t="shared" si="1"/>
        <v>0</v>
      </c>
      <c r="J43" s="9">
        <f t="shared" si="2"/>
        <v>0</v>
      </c>
      <c r="K43" s="1">
        <f t="shared" si="7"/>
        <v>80</v>
      </c>
      <c r="L43" s="1"/>
      <c r="M43" s="3"/>
      <c r="N43" s="3"/>
      <c r="O43" s="3"/>
      <c r="P43" s="3"/>
      <c r="Q43" s="3"/>
      <c r="R43" s="1"/>
    </row>
    <row r="44" spans="2:18" x14ac:dyDescent="0.2">
      <c r="B44">
        <v>32</v>
      </c>
      <c r="C44" s="1">
        <v>-1.892023911431576</v>
      </c>
      <c r="D44" s="1">
        <f t="shared" si="3"/>
        <v>28.21788055171438</v>
      </c>
      <c r="E44" s="18">
        <f t="shared" si="0"/>
        <v>51.78211944828562</v>
      </c>
      <c r="F44" s="1">
        <f t="shared" si="4"/>
        <v>80</v>
      </c>
      <c r="G44" s="9">
        <f t="shared" si="5"/>
        <v>0</v>
      </c>
      <c r="H44" s="9">
        <f t="shared" si="6"/>
        <v>80</v>
      </c>
      <c r="I44" s="9">
        <f t="shared" si="1"/>
        <v>0</v>
      </c>
      <c r="J44" s="9">
        <f t="shared" si="2"/>
        <v>0</v>
      </c>
      <c r="K44" s="1">
        <f t="shared" si="7"/>
        <v>80</v>
      </c>
      <c r="L44" s="1"/>
      <c r="M44" s="3"/>
      <c r="N44" s="3"/>
      <c r="O44" s="3"/>
      <c r="P44" s="3"/>
      <c r="Q44" s="3"/>
      <c r="R44" s="1"/>
    </row>
    <row r="45" spans="2:18" x14ac:dyDescent="0.2">
      <c r="B45">
        <v>33</v>
      </c>
      <c r="C45" s="1">
        <v>-1.873365757110991</v>
      </c>
      <c r="D45" s="1">
        <f t="shared" si="3"/>
        <v>28.535551522185994</v>
      </c>
      <c r="E45" s="18">
        <f t="shared" si="0"/>
        <v>51.464448477814003</v>
      </c>
      <c r="F45" s="1">
        <f t="shared" si="4"/>
        <v>80</v>
      </c>
      <c r="G45" s="9">
        <f t="shared" si="5"/>
        <v>0</v>
      </c>
      <c r="H45" s="9">
        <f t="shared" si="6"/>
        <v>80</v>
      </c>
      <c r="I45" s="9">
        <f t="shared" si="1"/>
        <v>0</v>
      </c>
      <c r="J45" s="9">
        <f t="shared" si="2"/>
        <v>0</v>
      </c>
      <c r="K45" s="1">
        <f t="shared" si="7"/>
        <v>80</v>
      </c>
      <c r="L45" s="1"/>
      <c r="M45" s="3"/>
      <c r="N45" s="3"/>
      <c r="O45" s="3"/>
      <c r="P45" s="3"/>
      <c r="Q45" s="3"/>
      <c r="R45" s="1"/>
    </row>
    <row r="46" spans="2:18" x14ac:dyDescent="0.2">
      <c r="B46">
        <v>34</v>
      </c>
      <c r="C46" s="1">
        <v>-1.8395300682445304</v>
      </c>
      <c r="D46" s="1">
        <f t="shared" si="3"/>
        <v>29.120783970832171</v>
      </c>
      <c r="E46" s="18">
        <f t="shared" si="0"/>
        <v>50.879216029167829</v>
      </c>
      <c r="F46" s="1">
        <f t="shared" si="4"/>
        <v>80</v>
      </c>
      <c r="G46" s="9">
        <f t="shared" si="5"/>
        <v>0</v>
      </c>
      <c r="H46" s="9">
        <f t="shared" si="6"/>
        <v>80</v>
      </c>
      <c r="I46" s="9">
        <f t="shared" si="1"/>
        <v>0</v>
      </c>
      <c r="J46" s="9">
        <f t="shared" si="2"/>
        <v>0</v>
      </c>
      <c r="K46" s="1">
        <f t="shared" si="7"/>
        <v>80</v>
      </c>
      <c r="L46" s="1"/>
      <c r="M46" s="3"/>
      <c r="N46" s="3"/>
      <c r="O46" s="3"/>
      <c r="P46" s="3"/>
      <c r="Q46" s="3"/>
      <c r="R46" s="1"/>
    </row>
    <row r="47" spans="2:18" x14ac:dyDescent="0.2">
      <c r="B47">
        <v>35</v>
      </c>
      <c r="C47" s="1">
        <v>-1.8377822002261954</v>
      </c>
      <c r="D47" s="1">
        <f t="shared" si="3"/>
        <v>29.151339562356952</v>
      </c>
      <c r="E47" s="18">
        <f t="shared" si="0"/>
        <v>50.848660437643048</v>
      </c>
      <c r="F47" s="1">
        <f t="shared" si="4"/>
        <v>80</v>
      </c>
      <c r="G47" s="9">
        <f t="shared" si="5"/>
        <v>0</v>
      </c>
      <c r="H47" s="9">
        <f t="shared" si="6"/>
        <v>80</v>
      </c>
      <c r="I47" s="9">
        <f t="shared" si="1"/>
        <v>0</v>
      </c>
      <c r="J47" s="9">
        <f t="shared" si="2"/>
        <v>0</v>
      </c>
      <c r="K47" s="1">
        <f t="shared" si="7"/>
        <v>80</v>
      </c>
      <c r="L47" s="1"/>
      <c r="M47" s="3"/>
      <c r="N47" s="3"/>
      <c r="O47" s="3"/>
      <c r="P47" s="3"/>
      <c r="Q47" s="3"/>
      <c r="R47" s="1"/>
    </row>
    <row r="48" spans="2:18" x14ac:dyDescent="0.2">
      <c r="B48">
        <v>36</v>
      </c>
      <c r="C48" s="1">
        <v>-1.8155921330676705</v>
      </c>
      <c r="D48" s="1">
        <f t="shared" si="3"/>
        <v>29.542056913576932</v>
      </c>
      <c r="E48" s="18">
        <f t="shared" si="0"/>
        <v>50.457943086423072</v>
      </c>
      <c r="F48" s="1">
        <f t="shared" si="4"/>
        <v>80</v>
      </c>
      <c r="G48" s="9">
        <f t="shared" si="5"/>
        <v>0</v>
      </c>
      <c r="H48" s="9">
        <f t="shared" si="6"/>
        <v>80</v>
      </c>
      <c r="I48" s="9">
        <f t="shared" si="1"/>
        <v>0</v>
      </c>
      <c r="J48" s="9">
        <f t="shared" si="2"/>
        <v>0</v>
      </c>
      <c r="K48" s="1">
        <f t="shared" si="7"/>
        <v>80</v>
      </c>
      <c r="L48" s="1"/>
      <c r="M48" s="3"/>
      <c r="N48" s="3"/>
      <c r="O48" s="3"/>
      <c r="P48" s="3"/>
      <c r="Q48" s="3"/>
      <c r="R48" s="1"/>
    </row>
    <row r="49" spans="2:18" x14ac:dyDescent="0.2">
      <c r="B49">
        <v>37</v>
      </c>
      <c r="C49" s="1">
        <v>-1.8119427889607458</v>
      </c>
      <c r="D49" s="1">
        <f t="shared" si="3"/>
        <v>29.606813261946634</v>
      </c>
      <c r="E49" s="18">
        <f t="shared" si="0"/>
        <v>50.393186738053366</v>
      </c>
      <c r="F49" s="1">
        <f t="shared" si="4"/>
        <v>80</v>
      </c>
      <c r="G49" s="9">
        <f t="shared" si="5"/>
        <v>0</v>
      </c>
      <c r="H49" s="9">
        <f t="shared" si="6"/>
        <v>80</v>
      </c>
      <c r="I49" s="9">
        <f t="shared" si="1"/>
        <v>0</v>
      </c>
      <c r="J49" s="9">
        <f t="shared" si="2"/>
        <v>0</v>
      </c>
      <c r="K49" s="1">
        <f t="shared" si="7"/>
        <v>80</v>
      </c>
      <c r="L49" s="1"/>
      <c r="M49" s="3"/>
      <c r="N49" s="3"/>
      <c r="O49" s="3"/>
      <c r="P49" s="3"/>
      <c r="Q49" s="3"/>
      <c r="R49" s="1"/>
    </row>
    <row r="50" spans="2:18" x14ac:dyDescent="0.2">
      <c r="B50">
        <v>38</v>
      </c>
      <c r="C50" s="1">
        <v>-1.7891804881346229</v>
      </c>
      <c r="D50" s="1">
        <f t="shared" si="3"/>
        <v>30.013938580419307</v>
      </c>
      <c r="E50" s="18">
        <f t="shared" si="0"/>
        <v>49.986061419580693</v>
      </c>
      <c r="F50" s="1">
        <f t="shared" si="4"/>
        <v>80</v>
      </c>
      <c r="G50" s="9">
        <f t="shared" si="5"/>
        <v>0</v>
      </c>
      <c r="H50" s="9">
        <f t="shared" si="6"/>
        <v>80</v>
      </c>
      <c r="I50" s="9">
        <f t="shared" si="1"/>
        <v>0</v>
      </c>
      <c r="J50" s="9">
        <f t="shared" si="2"/>
        <v>0</v>
      </c>
      <c r="K50" s="1">
        <f t="shared" si="7"/>
        <v>80</v>
      </c>
      <c r="L50" s="1"/>
      <c r="M50" s="3"/>
      <c r="N50" s="3"/>
      <c r="O50" s="3"/>
      <c r="P50" s="3"/>
      <c r="Q50" s="3"/>
      <c r="R50" s="1"/>
    </row>
    <row r="51" spans="2:18" x14ac:dyDescent="0.2">
      <c r="B51">
        <v>39</v>
      </c>
      <c r="C51" s="1">
        <v>-1.7584008785169154</v>
      </c>
      <c r="D51" s="1">
        <f t="shared" si="3"/>
        <v>30.573378874070002</v>
      </c>
      <c r="E51" s="18">
        <f t="shared" si="0"/>
        <v>49.426621125929998</v>
      </c>
      <c r="F51" s="1">
        <f t="shared" si="4"/>
        <v>80</v>
      </c>
      <c r="G51" s="9">
        <f t="shared" si="5"/>
        <v>0</v>
      </c>
      <c r="H51" s="9">
        <f t="shared" si="6"/>
        <v>80</v>
      </c>
      <c r="I51" s="9">
        <f t="shared" si="1"/>
        <v>0</v>
      </c>
      <c r="J51" s="9">
        <f t="shared" si="2"/>
        <v>0</v>
      </c>
      <c r="K51" s="1">
        <f t="shared" si="7"/>
        <v>80</v>
      </c>
      <c r="L51" s="1"/>
      <c r="M51" s="3"/>
      <c r="N51" s="3"/>
      <c r="O51" s="3"/>
      <c r="P51" s="3"/>
      <c r="Q51" s="3"/>
      <c r="R51" s="1"/>
    </row>
    <row r="52" spans="2:18" x14ac:dyDescent="0.2">
      <c r="B52">
        <v>40</v>
      </c>
      <c r="C52" s="1">
        <v>-1.7542049761262879</v>
      </c>
      <c r="D52" s="1">
        <f t="shared" si="3"/>
        <v>30.650445590796487</v>
      </c>
      <c r="E52" s="18">
        <f t="shared" si="0"/>
        <v>49.349554409203513</v>
      </c>
      <c r="F52" s="1">
        <f t="shared" si="4"/>
        <v>80</v>
      </c>
      <c r="G52" s="9">
        <f t="shared" si="5"/>
        <v>0</v>
      </c>
      <c r="H52" s="9">
        <f t="shared" si="6"/>
        <v>80</v>
      </c>
      <c r="I52" s="9">
        <f t="shared" si="1"/>
        <v>0</v>
      </c>
      <c r="J52" s="9">
        <f t="shared" si="2"/>
        <v>0</v>
      </c>
      <c r="K52" s="1">
        <f t="shared" si="7"/>
        <v>80</v>
      </c>
      <c r="L52" s="1"/>
      <c r="M52" s="3"/>
      <c r="N52" s="3"/>
      <c r="O52" s="3"/>
      <c r="P52" s="3"/>
      <c r="Q52" s="3"/>
      <c r="R52" s="1"/>
    </row>
    <row r="53" spans="2:18" x14ac:dyDescent="0.2">
      <c r="B53">
        <v>41</v>
      </c>
      <c r="C53" s="1">
        <v>-1.7410003002082119</v>
      </c>
      <c r="D53" s="1">
        <f t="shared" si="3"/>
        <v>30.894247634046174</v>
      </c>
      <c r="E53" s="18">
        <f t="shared" si="0"/>
        <v>49.105752365953826</v>
      </c>
      <c r="F53" s="1">
        <f t="shared" si="4"/>
        <v>80</v>
      </c>
      <c r="G53" s="9">
        <f t="shared" si="5"/>
        <v>0</v>
      </c>
      <c r="H53" s="9">
        <f t="shared" si="6"/>
        <v>80</v>
      </c>
      <c r="I53" s="9">
        <f t="shared" si="1"/>
        <v>0</v>
      </c>
      <c r="J53" s="9">
        <f t="shared" si="2"/>
        <v>0</v>
      </c>
      <c r="K53" s="1">
        <f t="shared" si="7"/>
        <v>80</v>
      </c>
      <c r="L53" s="1"/>
      <c r="M53" s="3"/>
      <c r="N53" s="3"/>
      <c r="O53" s="3"/>
      <c r="P53" s="3"/>
      <c r="Q53" s="3"/>
      <c r="R53" s="1"/>
    </row>
    <row r="54" spans="2:18" x14ac:dyDescent="0.2">
      <c r="B54">
        <v>42</v>
      </c>
      <c r="C54" s="1">
        <v>-1.7130567786098181</v>
      </c>
      <c r="D54" s="1">
        <f t="shared" si="3"/>
        <v>31.416590674937378</v>
      </c>
      <c r="E54" s="18">
        <f t="shared" si="0"/>
        <v>48.583409325062618</v>
      </c>
      <c r="F54" s="1">
        <f t="shared" si="4"/>
        <v>80</v>
      </c>
      <c r="G54" s="9">
        <f t="shared" si="5"/>
        <v>0</v>
      </c>
      <c r="H54" s="9">
        <f t="shared" si="6"/>
        <v>80</v>
      </c>
      <c r="I54" s="9">
        <f t="shared" si="1"/>
        <v>0</v>
      </c>
      <c r="J54" s="9">
        <f t="shared" si="2"/>
        <v>0</v>
      </c>
      <c r="K54" s="1">
        <f t="shared" si="7"/>
        <v>80</v>
      </c>
      <c r="L54" s="1"/>
      <c r="M54" s="3"/>
      <c r="N54" s="3"/>
      <c r="O54" s="3"/>
      <c r="P54" s="3"/>
      <c r="Q54" s="3"/>
      <c r="R54" s="1"/>
    </row>
    <row r="55" spans="2:18" x14ac:dyDescent="0.2">
      <c r="B55">
        <v>43</v>
      </c>
      <c r="C55" s="1">
        <v>-1.6927168080977399</v>
      </c>
      <c r="D55" s="1">
        <f t="shared" si="3"/>
        <v>31.802347287344613</v>
      </c>
      <c r="E55" s="18">
        <f t="shared" si="0"/>
        <v>48.197652712655383</v>
      </c>
      <c r="F55" s="1">
        <f t="shared" si="4"/>
        <v>80</v>
      </c>
      <c r="G55" s="9">
        <f t="shared" si="5"/>
        <v>0</v>
      </c>
      <c r="H55" s="9">
        <f t="shared" si="6"/>
        <v>80</v>
      </c>
      <c r="I55" s="9">
        <f t="shared" si="1"/>
        <v>0</v>
      </c>
      <c r="J55" s="9">
        <f t="shared" si="2"/>
        <v>0</v>
      </c>
      <c r="K55" s="1">
        <f t="shared" si="7"/>
        <v>80</v>
      </c>
      <c r="L55" s="1"/>
      <c r="M55" s="3"/>
      <c r="N55" s="3"/>
      <c r="O55" s="3"/>
      <c r="P55" s="3"/>
      <c r="Q55" s="3"/>
      <c r="R55" s="1"/>
    </row>
    <row r="56" spans="2:18" x14ac:dyDescent="0.2">
      <c r="B56">
        <v>44</v>
      </c>
      <c r="C56" s="1">
        <v>-1.6913522396666663</v>
      </c>
      <c r="D56" s="1">
        <f t="shared" si="3"/>
        <v>31.828395836883423</v>
      </c>
      <c r="E56" s="18">
        <f t="shared" si="0"/>
        <v>48.171604163116577</v>
      </c>
      <c r="F56" s="1">
        <f t="shared" si="4"/>
        <v>80</v>
      </c>
      <c r="G56" s="9">
        <f t="shared" si="5"/>
        <v>0</v>
      </c>
      <c r="H56" s="9">
        <f t="shared" si="6"/>
        <v>80</v>
      </c>
      <c r="I56" s="9">
        <f t="shared" si="1"/>
        <v>0</v>
      </c>
      <c r="J56" s="9">
        <f t="shared" si="2"/>
        <v>0</v>
      </c>
      <c r="K56" s="1">
        <f t="shared" si="7"/>
        <v>80</v>
      </c>
      <c r="L56" s="1"/>
      <c r="M56" s="3"/>
      <c r="N56" s="3"/>
      <c r="O56" s="3"/>
      <c r="P56" s="3"/>
      <c r="Q56" s="3"/>
      <c r="R56" s="1"/>
    </row>
    <row r="57" spans="2:18" x14ac:dyDescent="0.2">
      <c r="B57">
        <v>45</v>
      </c>
      <c r="C57" s="1">
        <v>-1.6710662819201663</v>
      </c>
      <c r="D57" s="1">
        <f t="shared" si="3"/>
        <v>32.218164771657051</v>
      </c>
      <c r="E57" s="18">
        <f t="shared" si="0"/>
        <v>47.781835228342949</v>
      </c>
      <c r="F57" s="1">
        <f t="shared" si="4"/>
        <v>80</v>
      </c>
      <c r="G57" s="9">
        <f t="shared" si="5"/>
        <v>0</v>
      </c>
      <c r="H57" s="9">
        <f t="shared" si="6"/>
        <v>80</v>
      </c>
      <c r="I57" s="9">
        <f t="shared" si="1"/>
        <v>0</v>
      </c>
      <c r="J57" s="9">
        <f t="shared" si="2"/>
        <v>0</v>
      </c>
      <c r="K57" s="1">
        <f t="shared" si="7"/>
        <v>80</v>
      </c>
      <c r="L57" s="1"/>
      <c r="M57" s="3"/>
      <c r="N57" s="3"/>
      <c r="O57" s="3"/>
      <c r="P57" s="3"/>
      <c r="Q57" s="3"/>
      <c r="R57" s="1"/>
    </row>
    <row r="58" spans="2:18" x14ac:dyDescent="0.2">
      <c r="B58">
        <v>46</v>
      </c>
      <c r="C58" s="1">
        <v>-1.6621865340988302</v>
      </c>
      <c r="D58" s="1">
        <f t="shared" si="3"/>
        <v>32.390276363851548</v>
      </c>
      <c r="E58" s="18">
        <f t="shared" si="0"/>
        <v>47.609723636148452</v>
      </c>
      <c r="F58" s="1">
        <f t="shared" si="4"/>
        <v>80</v>
      </c>
      <c r="G58" s="9">
        <f t="shared" si="5"/>
        <v>0</v>
      </c>
      <c r="H58" s="9">
        <f t="shared" si="6"/>
        <v>80</v>
      </c>
      <c r="I58" s="9">
        <f t="shared" si="1"/>
        <v>0</v>
      </c>
      <c r="J58" s="9">
        <f t="shared" si="2"/>
        <v>0</v>
      </c>
      <c r="K58" s="1">
        <f t="shared" si="7"/>
        <v>80</v>
      </c>
      <c r="L58" s="1"/>
      <c r="M58" s="3"/>
      <c r="N58" s="3"/>
      <c r="O58" s="3"/>
      <c r="P58" s="3"/>
      <c r="Q58" s="3"/>
      <c r="R58" s="1"/>
    </row>
    <row r="59" spans="2:18" x14ac:dyDescent="0.2">
      <c r="B59">
        <v>47</v>
      </c>
      <c r="C59" s="1">
        <v>-1.6516109862868982</v>
      </c>
      <c r="D59" s="1">
        <f t="shared" si="3"/>
        <v>32.596456763059336</v>
      </c>
      <c r="E59" s="18">
        <f t="shared" si="0"/>
        <v>47.403543236940664</v>
      </c>
      <c r="F59" s="1">
        <f t="shared" si="4"/>
        <v>80</v>
      </c>
      <c r="G59" s="9">
        <f t="shared" si="5"/>
        <v>0</v>
      </c>
      <c r="H59" s="9">
        <f t="shared" si="6"/>
        <v>80</v>
      </c>
      <c r="I59" s="9">
        <f t="shared" si="1"/>
        <v>0</v>
      </c>
      <c r="J59" s="9">
        <f t="shared" si="2"/>
        <v>0</v>
      </c>
      <c r="K59" s="1">
        <f t="shared" si="7"/>
        <v>80</v>
      </c>
      <c r="L59" s="1"/>
      <c r="M59" s="3"/>
      <c r="N59" s="3"/>
      <c r="O59" s="3"/>
      <c r="P59" s="3"/>
      <c r="Q59" s="3"/>
      <c r="R59" s="1"/>
    </row>
    <row r="60" spans="2:18" x14ac:dyDescent="0.2">
      <c r="B60">
        <v>48</v>
      </c>
      <c r="C60" s="1">
        <v>-1.6031561878777658</v>
      </c>
      <c r="D60" s="1">
        <f t="shared" si="3"/>
        <v>33.558039873435455</v>
      </c>
      <c r="E60" s="18">
        <f t="shared" si="0"/>
        <v>46.441960126564545</v>
      </c>
      <c r="F60" s="1">
        <f t="shared" si="4"/>
        <v>80</v>
      </c>
      <c r="G60" s="9">
        <f t="shared" si="5"/>
        <v>0</v>
      </c>
      <c r="H60" s="9">
        <f t="shared" si="6"/>
        <v>80</v>
      </c>
      <c r="I60" s="9">
        <f t="shared" si="1"/>
        <v>0</v>
      </c>
      <c r="J60" s="9">
        <f t="shared" si="2"/>
        <v>0</v>
      </c>
      <c r="K60" s="1">
        <f t="shared" si="7"/>
        <v>80</v>
      </c>
      <c r="L60" s="1"/>
      <c r="M60" s="3"/>
      <c r="N60" s="3"/>
      <c r="O60" s="3"/>
      <c r="P60" s="3"/>
      <c r="Q60" s="3"/>
      <c r="R60" s="1"/>
    </row>
    <row r="61" spans="2:18" x14ac:dyDescent="0.2">
      <c r="B61">
        <v>49</v>
      </c>
      <c r="C61" s="1">
        <v>-1.582404181637836</v>
      </c>
      <c r="D61" s="1">
        <f t="shared" si="3"/>
        <v>33.978489988231438</v>
      </c>
      <c r="E61" s="18">
        <f t="shared" si="0"/>
        <v>46.021510011768562</v>
      </c>
      <c r="F61" s="1">
        <f t="shared" si="4"/>
        <v>80</v>
      </c>
      <c r="G61" s="9">
        <f t="shared" si="5"/>
        <v>0</v>
      </c>
      <c r="H61" s="9">
        <f t="shared" si="6"/>
        <v>80</v>
      </c>
      <c r="I61" s="9">
        <f t="shared" si="1"/>
        <v>0</v>
      </c>
      <c r="J61" s="9">
        <f t="shared" si="2"/>
        <v>0</v>
      </c>
      <c r="K61" s="1">
        <f t="shared" si="7"/>
        <v>80</v>
      </c>
      <c r="L61" s="1"/>
      <c r="M61" s="3"/>
      <c r="N61" s="3"/>
      <c r="O61" s="3"/>
      <c r="P61" s="3"/>
      <c r="Q61" s="3"/>
      <c r="R61" s="1"/>
    </row>
    <row r="62" spans="2:18" x14ac:dyDescent="0.2">
      <c r="B62">
        <v>50</v>
      </c>
      <c r="C62" s="1">
        <v>-1.5790580831168766</v>
      </c>
      <c r="D62" s="1">
        <f t="shared" si="3"/>
        <v>34.046775737604776</v>
      </c>
      <c r="E62" s="18">
        <f t="shared" si="0"/>
        <v>45.953224262395224</v>
      </c>
      <c r="F62" s="1">
        <f t="shared" si="4"/>
        <v>80</v>
      </c>
      <c r="G62" s="9">
        <f t="shared" si="5"/>
        <v>0</v>
      </c>
      <c r="H62" s="9">
        <f t="shared" si="6"/>
        <v>80</v>
      </c>
      <c r="I62" s="9">
        <f t="shared" si="1"/>
        <v>0</v>
      </c>
      <c r="J62" s="9">
        <f t="shared" si="2"/>
        <v>0</v>
      </c>
      <c r="K62" s="1">
        <f t="shared" si="7"/>
        <v>80</v>
      </c>
      <c r="L62" s="1"/>
      <c r="M62" s="3"/>
      <c r="N62" s="3"/>
      <c r="O62" s="3"/>
      <c r="P62" s="3"/>
      <c r="Q62" s="3"/>
      <c r="R62" s="1"/>
    </row>
    <row r="63" spans="2:18" x14ac:dyDescent="0.2">
      <c r="B63">
        <v>51</v>
      </c>
      <c r="C63" s="1">
        <v>-1.5747099231508361</v>
      </c>
      <c r="D63" s="1">
        <f t="shared" si="3"/>
        <v>34.135716201708824</v>
      </c>
      <c r="E63" s="18">
        <f t="shared" si="0"/>
        <v>45.864283798291176</v>
      </c>
      <c r="F63" s="1">
        <f t="shared" si="4"/>
        <v>80</v>
      </c>
      <c r="G63" s="9">
        <f t="shared" si="5"/>
        <v>0</v>
      </c>
      <c r="H63" s="9">
        <f t="shared" si="6"/>
        <v>80</v>
      </c>
      <c r="I63" s="9">
        <f t="shared" si="1"/>
        <v>0</v>
      </c>
      <c r="J63" s="9">
        <f t="shared" si="2"/>
        <v>0</v>
      </c>
      <c r="K63" s="1">
        <f t="shared" si="7"/>
        <v>80</v>
      </c>
      <c r="L63" s="1"/>
      <c r="M63" s="3"/>
      <c r="N63" s="3"/>
      <c r="O63" s="3"/>
      <c r="P63" s="3"/>
      <c r="Q63" s="3"/>
      <c r="R63" s="1"/>
    </row>
    <row r="64" spans="2:18" x14ac:dyDescent="0.2">
      <c r="B64">
        <v>52</v>
      </c>
      <c r="C64" s="1">
        <v>-1.5729232957323855</v>
      </c>
      <c r="D64" s="1">
        <f t="shared" si="3"/>
        <v>34.172328505875392</v>
      </c>
      <c r="E64" s="18">
        <f t="shared" si="0"/>
        <v>45.827671494124608</v>
      </c>
      <c r="F64" s="1">
        <f t="shared" si="4"/>
        <v>80</v>
      </c>
      <c r="G64" s="9">
        <f t="shared" si="5"/>
        <v>0</v>
      </c>
      <c r="H64" s="9">
        <f t="shared" si="6"/>
        <v>80</v>
      </c>
      <c r="I64" s="9">
        <f t="shared" si="1"/>
        <v>0</v>
      </c>
      <c r="J64" s="9">
        <f t="shared" si="2"/>
        <v>0</v>
      </c>
      <c r="K64" s="1">
        <f t="shared" si="7"/>
        <v>80</v>
      </c>
      <c r="L64" s="1"/>
      <c r="M64" s="3"/>
      <c r="N64" s="3"/>
      <c r="O64" s="3"/>
      <c r="P64" s="3"/>
      <c r="Q64" s="3"/>
      <c r="R64" s="1"/>
    </row>
    <row r="65" spans="2:18" x14ac:dyDescent="0.2">
      <c r="B65">
        <v>53</v>
      </c>
      <c r="C65" s="1">
        <v>-1.5368360519406092</v>
      </c>
      <c r="D65" s="1">
        <f t="shared" si="3"/>
        <v>34.920308130282613</v>
      </c>
      <c r="E65" s="18">
        <f t="shared" si="0"/>
        <v>45.079691869717387</v>
      </c>
      <c r="F65" s="1">
        <f t="shared" si="4"/>
        <v>80</v>
      </c>
      <c r="G65" s="9">
        <f t="shared" si="5"/>
        <v>0</v>
      </c>
      <c r="H65" s="9">
        <f t="shared" si="6"/>
        <v>80</v>
      </c>
      <c r="I65" s="9">
        <f t="shared" si="1"/>
        <v>0</v>
      </c>
      <c r="J65" s="9">
        <f t="shared" si="2"/>
        <v>0</v>
      </c>
      <c r="K65" s="1">
        <f t="shared" si="7"/>
        <v>80</v>
      </c>
      <c r="L65" s="1"/>
      <c r="M65" s="3"/>
      <c r="N65" s="3"/>
      <c r="O65" s="3"/>
      <c r="P65" s="3"/>
      <c r="Q65" s="3"/>
      <c r="R65" s="1"/>
    </row>
    <row r="66" spans="2:18" x14ac:dyDescent="0.2">
      <c r="B66">
        <v>54</v>
      </c>
      <c r="C66" s="1">
        <v>-1.534070963649502</v>
      </c>
      <c r="D66" s="1">
        <f t="shared" si="3"/>
        <v>34.978290856269787</v>
      </c>
      <c r="E66" s="18">
        <f t="shared" si="0"/>
        <v>45.021709143730213</v>
      </c>
      <c r="F66" s="1">
        <f t="shared" si="4"/>
        <v>80</v>
      </c>
      <c r="G66" s="9">
        <f t="shared" si="5"/>
        <v>0</v>
      </c>
      <c r="H66" s="9">
        <f t="shared" si="6"/>
        <v>80</v>
      </c>
      <c r="I66" s="9">
        <f t="shared" si="1"/>
        <v>0</v>
      </c>
      <c r="J66" s="9">
        <f t="shared" si="2"/>
        <v>0</v>
      </c>
      <c r="K66" s="1">
        <f t="shared" si="7"/>
        <v>80</v>
      </c>
      <c r="L66" s="1"/>
      <c r="M66" s="3"/>
      <c r="N66" s="3"/>
      <c r="O66" s="3"/>
      <c r="P66" s="3"/>
      <c r="Q66" s="3"/>
      <c r="R66" s="1"/>
    </row>
    <row r="67" spans="2:18" x14ac:dyDescent="0.2">
      <c r="B67">
        <v>55</v>
      </c>
      <c r="C67" s="1">
        <v>-1.5268846353798251</v>
      </c>
      <c r="D67" s="1">
        <f t="shared" si="3"/>
        <v>35.129435763420105</v>
      </c>
      <c r="E67" s="18">
        <f t="shared" si="0"/>
        <v>44.870564236579895</v>
      </c>
      <c r="F67" s="1">
        <f t="shared" si="4"/>
        <v>80</v>
      </c>
      <c r="G67" s="9">
        <f t="shared" si="5"/>
        <v>0</v>
      </c>
      <c r="H67" s="9">
        <f t="shared" si="6"/>
        <v>80</v>
      </c>
      <c r="I67" s="9">
        <f t="shared" si="1"/>
        <v>0</v>
      </c>
      <c r="J67" s="9">
        <f t="shared" si="2"/>
        <v>0</v>
      </c>
      <c r="K67" s="1">
        <f t="shared" si="7"/>
        <v>80</v>
      </c>
      <c r="L67" s="1"/>
      <c r="M67" s="3"/>
      <c r="N67" s="3"/>
      <c r="O67" s="3"/>
      <c r="P67" s="3"/>
      <c r="Q67" s="3"/>
      <c r="R67" s="1"/>
    </row>
    <row r="68" spans="2:18" x14ac:dyDescent="0.2">
      <c r="B68">
        <v>56</v>
      </c>
      <c r="C68" s="1">
        <v>-1.5223826142553836</v>
      </c>
      <c r="D68" s="1">
        <f t="shared" si="3"/>
        <v>35.224456117874261</v>
      </c>
      <c r="E68" s="18">
        <f t="shared" si="0"/>
        <v>44.775543882125739</v>
      </c>
      <c r="F68" s="1">
        <f t="shared" si="4"/>
        <v>80</v>
      </c>
      <c r="G68" s="9">
        <f t="shared" si="5"/>
        <v>0</v>
      </c>
      <c r="H68" s="9">
        <f t="shared" si="6"/>
        <v>80</v>
      </c>
      <c r="I68" s="9">
        <f t="shared" si="1"/>
        <v>0</v>
      </c>
      <c r="J68" s="9">
        <f t="shared" si="2"/>
        <v>0</v>
      </c>
      <c r="K68" s="1">
        <f t="shared" si="7"/>
        <v>80</v>
      </c>
      <c r="L68" s="1"/>
      <c r="M68" s="3"/>
      <c r="N68" s="3"/>
      <c r="O68" s="3"/>
      <c r="P68" s="3"/>
      <c r="Q68" s="3"/>
      <c r="R68" s="1"/>
    </row>
    <row r="69" spans="2:18" x14ac:dyDescent="0.2">
      <c r="B69">
        <v>57</v>
      </c>
      <c r="C69" s="1">
        <v>-1.493650636370315</v>
      </c>
      <c r="D69" s="1">
        <f t="shared" si="3"/>
        <v>35.836961472371733</v>
      </c>
      <c r="E69" s="18">
        <f t="shared" si="0"/>
        <v>44.163038527628267</v>
      </c>
      <c r="F69" s="1">
        <f t="shared" si="4"/>
        <v>80</v>
      </c>
      <c r="G69" s="9">
        <f t="shared" si="5"/>
        <v>0</v>
      </c>
      <c r="H69" s="9">
        <f t="shared" si="6"/>
        <v>80</v>
      </c>
      <c r="I69" s="9">
        <f t="shared" si="1"/>
        <v>0</v>
      </c>
      <c r="J69" s="9">
        <f t="shared" si="2"/>
        <v>0</v>
      </c>
      <c r="K69" s="1">
        <f t="shared" si="7"/>
        <v>80</v>
      </c>
      <c r="L69" s="1"/>
      <c r="M69" s="3"/>
      <c r="N69" s="3"/>
      <c r="O69" s="3"/>
      <c r="P69" s="3"/>
      <c r="Q69" s="3"/>
      <c r="R69" s="1"/>
    </row>
    <row r="70" spans="2:18" x14ac:dyDescent="0.2">
      <c r="B70">
        <v>58</v>
      </c>
      <c r="C70" s="1">
        <v>-1.4877247775827724</v>
      </c>
      <c r="D70" s="1">
        <f t="shared" si="3"/>
        <v>35.9646071247696</v>
      </c>
      <c r="E70" s="18">
        <f t="shared" si="0"/>
        <v>44.0353928752304</v>
      </c>
      <c r="F70" s="1">
        <f t="shared" si="4"/>
        <v>80</v>
      </c>
      <c r="G70" s="9">
        <f t="shared" si="5"/>
        <v>0</v>
      </c>
      <c r="H70" s="9">
        <f t="shared" si="6"/>
        <v>80</v>
      </c>
      <c r="I70" s="9">
        <f t="shared" si="1"/>
        <v>0</v>
      </c>
      <c r="J70" s="9">
        <f t="shared" si="2"/>
        <v>0</v>
      </c>
      <c r="K70" s="1">
        <f t="shared" si="7"/>
        <v>80</v>
      </c>
      <c r="L70" s="1"/>
      <c r="M70" s="3"/>
      <c r="N70" s="3"/>
      <c r="O70" s="3"/>
      <c r="P70" s="3"/>
      <c r="Q70" s="3"/>
      <c r="R70" s="1"/>
    </row>
    <row r="71" spans="2:18" x14ac:dyDescent="0.2">
      <c r="B71">
        <v>59</v>
      </c>
      <c r="C71" s="1">
        <v>-1.482558300994969</v>
      </c>
      <c r="D71" s="1">
        <f t="shared" si="3"/>
        <v>36.076266281100722</v>
      </c>
      <c r="E71" s="18">
        <f t="shared" si="0"/>
        <v>43.923733718899278</v>
      </c>
      <c r="F71" s="1">
        <f t="shared" si="4"/>
        <v>80</v>
      </c>
      <c r="G71" s="9">
        <f t="shared" si="5"/>
        <v>0</v>
      </c>
      <c r="H71" s="9">
        <f t="shared" si="6"/>
        <v>80</v>
      </c>
      <c r="I71" s="9">
        <f t="shared" si="1"/>
        <v>0</v>
      </c>
      <c r="J71" s="9">
        <f t="shared" si="2"/>
        <v>0</v>
      </c>
      <c r="K71" s="1">
        <f t="shared" si="7"/>
        <v>80</v>
      </c>
      <c r="L71" s="1"/>
      <c r="M71" s="3"/>
      <c r="N71" s="3"/>
      <c r="O71" s="3"/>
      <c r="P71" s="3"/>
      <c r="Q71" s="3"/>
      <c r="R71" s="1"/>
    </row>
    <row r="72" spans="2:18" x14ac:dyDescent="0.2">
      <c r="B72">
        <v>60</v>
      </c>
      <c r="C72" s="1">
        <v>-1.4750877660988553</v>
      </c>
      <c r="D72" s="1">
        <f t="shared" si="3"/>
        <v>36.238334634647039</v>
      </c>
      <c r="E72" s="18">
        <f t="shared" si="0"/>
        <v>43.761665365352961</v>
      </c>
      <c r="F72" s="1">
        <f t="shared" si="4"/>
        <v>80</v>
      </c>
      <c r="G72" s="9">
        <f t="shared" si="5"/>
        <v>0</v>
      </c>
      <c r="H72" s="9">
        <f t="shared" si="6"/>
        <v>80</v>
      </c>
      <c r="I72" s="9">
        <f t="shared" si="1"/>
        <v>0</v>
      </c>
      <c r="J72" s="9">
        <f t="shared" si="2"/>
        <v>0</v>
      </c>
      <c r="K72" s="1">
        <f t="shared" si="7"/>
        <v>80</v>
      </c>
      <c r="L72" s="1"/>
      <c r="M72" s="3"/>
      <c r="N72" s="3"/>
      <c r="O72" s="3"/>
      <c r="P72" s="3"/>
      <c r="Q72" s="3"/>
      <c r="R72" s="1"/>
    </row>
    <row r="73" spans="2:18" x14ac:dyDescent="0.2">
      <c r="B73">
        <v>61</v>
      </c>
      <c r="C73" s="1">
        <v>-1.4690509111178141</v>
      </c>
      <c r="D73" s="1">
        <f t="shared" si="3"/>
        <v>36.369831982572123</v>
      </c>
      <c r="E73" s="18">
        <f t="shared" si="0"/>
        <v>43.630168017427877</v>
      </c>
      <c r="F73" s="1">
        <f t="shared" si="4"/>
        <v>80</v>
      </c>
      <c r="G73" s="9">
        <f t="shared" si="5"/>
        <v>0</v>
      </c>
      <c r="H73" s="9">
        <f t="shared" si="6"/>
        <v>80</v>
      </c>
      <c r="I73" s="9">
        <f t="shared" si="1"/>
        <v>0</v>
      </c>
      <c r="J73" s="9">
        <f t="shared" si="2"/>
        <v>0</v>
      </c>
      <c r="K73" s="1">
        <f t="shared" si="7"/>
        <v>80</v>
      </c>
      <c r="L73" s="1"/>
      <c r="M73" s="3"/>
      <c r="N73" s="3"/>
      <c r="O73" s="3"/>
      <c r="P73" s="3"/>
      <c r="Q73" s="3"/>
      <c r="R73" s="1"/>
    </row>
    <row r="74" spans="2:18" x14ac:dyDescent="0.2">
      <c r="B74">
        <v>62</v>
      </c>
      <c r="C74" s="1">
        <v>-1.4610949241896727</v>
      </c>
      <c r="D74" s="1">
        <f t="shared" si="3"/>
        <v>36.543861770415937</v>
      </c>
      <c r="E74" s="18">
        <f t="shared" si="0"/>
        <v>43.456138229584063</v>
      </c>
      <c r="F74" s="1">
        <f t="shared" si="4"/>
        <v>80</v>
      </c>
      <c r="G74" s="9">
        <f t="shared" si="5"/>
        <v>0</v>
      </c>
      <c r="H74" s="9">
        <f t="shared" si="6"/>
        <v>80</v>
      </c>
      <c r="I74" s="9">
        <f t="shared" si="1"/>
        <v>0</v>
      </c>
      <c r="J74" s="9">
        <f t="shared" si="2"/>
        <v>0</v>
      </c>
      <c r="K74" s="1">
        <f t="shared" si="7"/>
        <v>80</v>
      </c>
      <c r="L74" s="1"/>
      <c r="M74" s="3"/>
      <c r="N74" s="3"/>
      <c r="O74" s="3"/>
      <c r="P74" s="3"/>
      <c r="Q74" s="3"/>
      <c r="R74" s="1"/>
    </row>
    <row r="75" spans="2:18" x14ac:dyDescent="0.2">
      <c r="B75">
        <v>63</v>
      </c>
      <c r="C75" s="1">
        <v>-1.4582390950669355</v>
      </c>
      <c r="D75" s="1">
        <f t="shared" si="3"/>
        <v>36.606533263625316</v>
      </c>
      <c r="E75" s="18">
        <f t="shared" si="0"/>
        <v>43.393466736374684</v>
      </c>
      <c r="F75" s="1">
        <f t="shared" si="4"/>
        <v>80</v>
      </c>
      <c r="G75" s="9">
        <f t="shared" si="5"/>
        <v>0</v>
      </c>
      <c r="H75" s="9">
        <f t="shared" si="6"/>
        <v>80</v>
      </c>
      <c r="I75" s="9">
        <f t="shared" si="1"/>
        <v>0</v>
      </c>
      <c r="J75" s="9">
        <f t="shared" si="2"/>
        <v>0</v>
      </c>
      <c r="K75" s="1">
        <f t="shared" si="7"/>
        <v>80</v>
      </c>
      <c r="L75" s="1"/>
      <c r="M75" s="3"/>
      <c r="N75" s="3"/>
      <c r="O75" s="3"/>
      <c r="P75" s="3"/>
      <c r="Q75" s="3"/>
      <c r="R75" s="1"/>
    </row>
    <row r="76" spans="2:18" x14ac:dyDescent="0.2">
      <c r="B76">
        <v>64</v>
      </c>
      <c r="C76" s="1">
        <v>-1.4525830496732881</v>
      </c>
      <c r="D76" s="1">
        <f t="shared" si="3"/>
        <v>36.73097322392227</v>
      </c>
      <c r="E76" s="18">
        <f t="shared" si="0"/>
        <v>43.26902677607773</v>
      </c>
      <c r="F76" s="1">
        <f t="shared" si="4"/>
        <v>80</v>
      </c>
      <c r="G76" s="9">
        <f t="shared" si="5"/>
        <v>0</v>
      </c>
      <c r="H76" s="9">
        <f t="shared" si="6"/>
        <v>80</v>
      </c>
      <c r="I76" s="9">
        <f t="shared" si="1"/>
        <v>0</v>
      </c>
      <c r="J76" s="9">
        <f t="shared" si="2"/>
        <v>0</v>
      </c>
      <c r="K76" s="1">
        <f t="shared" si="7"/>
        <v>80</v>
      </c>
      <c r="L76" s="1"/>
      <c r="M76" s="3"/>
      <c r="N76" s="3"/>
      <c r="O76" s="3"/>
      <c r="P76" s="3"/>
      <c r="Q76" s="3"/>
      <c r="R76" s="1"/>
    </row>
    <row r="77" spans="2:18" x14ac:dyDescent="0.2">
      <c r="B77">
        <v>65</v>
      </c>
      <c r="C77" s="1">
        <v>-1.4490471648281507</v>
      </c>
      <c r="D77" s="1">
        <f t="shared" ref="D77:D140" si="8">a0*EXP((RR-0.5*sigma^2)*T+sigma*SQRT(T)*C77)</f>
        <v>36.808981838448382</v>
      </c>
      <c r="E77" s="18">
        <f t="shared" ref="E77:E140" si="9">IF(AND(D77&gt;=0, D77&lt;F), F-D77, IF(D77&gt;=F, $E$7, 0))</f>
        <v>43.191018161551618</v>
      </c>
      <c r="F77" s="1">
        <f t="shared" si="4"/>
        <v>80</v>
      </c>
      <c r="G77" s="9">
        <f t="shared" ref="G77:G140" si="10">IF(F77&lt;F,MIN(disc,F77),0)</f>
        <v>0</v>
      </c>
      <c r="H77" s="9">
        <f t="shared" ref="H77:H140" si="11">IF(F77&gt;=F,F,F77-G77)</f>
        <v>80</v>
      </c>
      <c r="I77" s="9">
        <f t="shared" ref="I77:I140" si="12">(1-tax)*(F77-G77-H77)</f>
        <v>0</v>
      </c>
      <c r="J77" s="9">
        <f t="shared" ref="J77:J140" si="13">tax*(F77-G77-H77)</f>
        <v>0</v>
      </c>
      <c r="K77" s="1">
        <f t="shared" si="7"/>
        <v>80</v>
      </c>
      <c r="L77" s="1"/>
      <c r="M77" s="3"/>
      <c r="N77" s="3"/>
      <c r="O77" s="3"/>
      <c r="P77" s="3"/>
      <c r="Q77" s="3"/>
      <c r="R77" s="1"/>
    </row>
    <row r="78" spans="2:18" x14ac:dyDescent="0.2">
      <c r="B78">
        <v>66</v>
      </c>
      <c r="C78" s="1">
        <v>-1.4272125769495556</v>
      </c>
      <c r="D78" s="1">
        <f t="shared" si="8"/>
        <v>37.294379804643683</v>
      </c>
      <c r="E78" s="18">
        <f t="shared" si="9"/>
        <v>42.705620195356317</v>
      </c>
      <c r="F78" s="1">
        <f t="shared" ref="F78:F141" si="14">D78+E78</f>
        <v>80</v>
      </c>
      <c r="G78" s="9">
        <f t="shared" si="10"/>
        <v>0</v>
      </c>
      <c r="H78" s="9">
        <f t="shared" si="11"/>
        <v>80</v>
      </c>
      <c r="I78" s="9">
        <f t="shared" si="12"/>
        <v>0</v>
      </c>
      <c r="J78" s="9">
        <f t="shared" si="13"/>
        <v>0</v>
      </c>
      <c r="K78" s="1">
        <f t="shared" ref="K78:K141" si="15">SUM(G78:J78)</f>
        <v>80</v>
      </c>
      <c r="L78" s="1"/>
      <c r="M78" s="3"/>
      <c r="N78" s="3"/>
      <c r="O78" s="3"/>
      <c r="P78" s="3"/>
      <c r="Q78" s="3"/>
      <c r="R78" s="1"/>
    </row>
    <row r="79" spans="2:18" x14ac:dyDescent="0.2">
      <c r="B79">
        <v>67</v>
      </c>
      <c r="C79" s="1">
        <v>-1.4254709881706158</v>
      </c>
      <c r="D79" s="1">
        <f t="shared" si="8"/>
        <v>37.333371057145243</v>
      </c>
      <c r="E79" s="18">
        <f t="shared" si="9"/>
        <v>42.666628942854757</v>
      </c>
      <c r="F79" s="1">
        <f t="shared" si="14"/>
        <v>80</v>
      </c>
      <c r="G79" s="9">
        <f t="shared" si="10"/>
        <v>0</v>
      </c>
      <c r="H79" s="9">
        <f t="shared" si="11"/>
        <v>80</v>
      </c>
      <c r="I79" s="9">
        <f t="shared" si="12"/>
        <v>0</v>
      </c>
      <c r="J79" s="9">
        <f t="shared" si="13"/>
        <v>0</v>
      </c>
      <c r="K79" s="1">
        <f t="shared" si="15"/>
        <v>80</v>
      </c>
      <c r="L79" s="1"/>
      <c r="M79" s="3"/>
      <c r="N79" s="3"/>
      <c r="O79" s="3"/>
      <c r="P79" s="3"/>
      <c r="Q79" s="3"/>
      <c r="R79" s="1"/>
    </row>
    <row r="80" spans="2:18" x14ac:dyDescent="0.2">
      <c r="B80">
        <v>68</v>
      </c>
      <c r="C80" s="1">
        <v>-1.4174690763420095</v>
      </c>
      <c r="D80" s="1">
        <f t="shared" si="8"/>
        <v>37.513045038692248</v>
      </c>
      <c r="E80" s="18">
        <f t="shared" si="9"/>
        <v>42.486954961307752</v>
      </c>
      <c r="F80" s="1">
        <f t="shared" si="14"/>
        <v>80</v>
      </c>
      <c r="G80" s="9">
        <f t="shared" si="10"/>
        <v>0</v>
      </c>
      <c r="H80" s="9">
        <f t="shared" si="11"/>
        <v>80</v>
      </c>
      <c r="I80" s="9">
        <f t="shared" si="12"/>
        <v>0</v>
      </c>
      <c r="J80" s="9">
        <f t="shared" si="13"/>
        <v>0</v>
      </c>
      <c r="K80" s="1">
        <f t="shared" si="15"/>
        <v>80</v>
      </c>
      <c r="L80" s="1"/>
      <c r="M80" s="3"/>
      <c r="N80" s="3"/>
      <c r="O80" s="3"/>
      <c r="P80" s="3"/>
      <c r="Q80" s="3"/>
      <c r="R80" s="1"/>
    </row>
    <row r="81" spans="2:18" x14ac:dyDescent="0.2">
      <c r="B81">
        <v>69</v>
      </c>
      <c r="C81" s="1">
        <v>-1.4118733377144668</v>
      </c>
      <c r="D81" s="1">
        <f t="shared" si="8"/>
        <v>37.639204624097346</v>
      </c>
      <c r="E81" s="18">
        <f t="shared" si="9"/>
        <v>42.360795375902654</v>
      </c>
      <c r="F81" s="1">
        <f t="shared" si="14"/>
        <v>80</v>
      </c>
      <c r="G81" s="9">
        <f t="shared" si="10"/>
        <v>0</v>
      </c>
      <c r="H81" s="9">
        <f t="shared" si="11"/>
        <v>80</v>
      </c>
      <c r="I81" s="9">
        <f t="shared" si="12"/>
        <v>0</v>
      </c>
      <c r="J81" s="9">
        <f t="shared" si="13"/>
        <v>0</v>
      </c>
      <c r="K81" s="1">
        <f t="shared" si="15"/>
        <v>80</v>
      </c>
      <c r="L81" s="1"/>
      <c r="M81" s="3"/>
      <c r="N81" s="3"/>
      <c r="O81" s="3"/>
      <c r="P81" s="3"/>
      <c r="Q81" s="3"/>
      <c r="R81" s="1"/>
    </row>
    <row r="82" spans="2:18" x14ac:dyDescent="0.2">
      <c r="B82">
        <v>70</v>
      </c>
      <c r="C82" s="1">
        <v>-1.4102309736712071</v>
      </c>
      <c r="D82" s="1">
        <f t="shared" si="8"/>
        <v>37.676313270641423</v>
      </c>
      <c r="E82" s="18">
        <f t="shared" si="9"/>
        <v>42.323686729358577</v>
      </c>
      <c r="F82" s="1">
        <f t="shared" si="14"/>
        <v>80</v>
      </c>
      <c r="G82" s="9">
        <f t="shared" si="10"/>
        <v>0</v>
      </c>
      <c r="H82" s="9">
        <f t="shared" si="11"/>
        <v>80</v>
      </c>
      <c r="I82" s="9">
        <f t="shared" si="12"/>
        <v>0</v>
      </c>
      <c r="J82" s="9">
        <f t="shared" si="13"/>
        <v>0</v>
      </c>
      <c r="K82" s="1">
        <f t="shared" si="15"/>
        <v>80</v>
      </c>
      <c r="L82" s="1"/>
      <c r="M82" s="3"/>
      <c r="N82" s="3"/>
      <c r="O82" s="3"/>
      <c r="P82" s="3"/>
      <c r="Q82" s="3"/>
      <c r="R82" s="1"/>
    </row>
    <row r="83" spans="2:18" x14ac:dyDescent="0.2">
      <c r="B83">
        <v>71</v>
      </c>
      <c r="C83" s="1">
        <v>-1.3863126207333007</v>
      </c>
      <c r="D83" s="1">
        <f t="shared" si="8"/>
        <v>38.220904859120417</v>
      </c>
      <c r="E83" s="18">
        <f t="shared" si="9"/>
        <v>41.779095140879583</v>
      </c>
      <c r="F83" s="1">
        <f t="shared" si="14"/>
        <v>80</v>
      </c>
      <c r="G83" s="9">
        <f t="shared" si="10"/>
        <v>0</v>
      </c>
      <c r="H83" s="9">
        <f t="shared" si="11"/>
        <v>80</v>
      </c>
      <c r="I83" s="9">
        <f t="shared" si="12"/>
        <v>0</v>
      </c>
      <c r="J83" s="9">
        <f t="shared" si="13"/>
        <v>0</v>
      </c>
      <c r="K83" s="1">
        <f t="shared" si="15"/>
        <v>80</v>
      </c>
      <c r="L83" s="1"/>
      <c r="M83" s="3"/>
      <c r="N83" s="3"/>
      <c r="O83" s="3"/>
      <c r="P83" s="3"/>
      <c r="Q83" s="3"/>
      <c r="R83" s="1"/>
    </row>
    <row r="84" spans="2:18" x14ac:dyDescent="0.2">
      <c r="B84">
        <v>72</v>
      </c>
      <c r="C84" s="1">
        <v>-1.3843692052771854</v>
      </c>
      <c r="D84" s="1">
        <f t="shared" si="8"/>
        <v>38.265498311499044</v>
      </c>
      <c r="E84" s="18">
        <f t="shared" si="9"/>
        <v>41.734501688500956</v>
      </c>
      <c r="F84" s="1">
        <f t="shared" si="14"/>
        <v>80</v>
      </c>
      <c r="G84" s="9">
        <f t="shared" si="10"/>
        <v>0</v>
      </c>
      <c r="H84" s="9">
        <f t="shared" si="11"/>
        <v>80</v>
      </c>
      <c r="I84" s="9">
        <f t="shared" si="12"/>
        <v>0</v>
      </c>
      <c r="J84" s="9">
        <f t="shared" si="13"/>
        <v>0</v>
      </c>
      <c r="K84" s="1">
        <f t="shared" si="15"/>
        <v>80</v>
      </c>
      <c r="L84" s="1"/>
      <c r="M84" s="3"/>
      <c r="N84" s="3"/>
      <c r="O84" s="3"/>
      <c r="P84" s="3"/>
      <c r="Q84" s="3"/>
      <c r="R84" s="1"/>
    </row>
    <row r="85" spans="2:18" x14ac:dyDescent="0.2">
      <c r="B85">
        <v>73</v>
      </c>
      <c r="C85" s="1">
        <v>-1.3749640341239919</v>
      </c>
      <c r="D85" s="1">
        <f t="shared" si="8"/>
        <v>38.482044870610451</v>
      </c>
      <c r="E85" s="18">
        <f t="shared" si="9"/>
        <v>41.517955129389549</v>
      </c>
      <c r="F85" s="1">
        <f t="shared" si="14"/>
        <v>80</v>
      </c>
      <c r="G85" s="9">
        <f t="shared" si="10"/>
        <v>0</v>
      </c>
      <c r="H85" s="9">
        <f t="shared" si="11"/>
        <v>80</v>
      </c>
      <c r="I85" s="9">
        <f t="shared" si="12"/>
        <v>0</v>
      </c>
      <c r="J85" s="9">
        <f t="shared" si="13"/>
        <v>0</v>
      </c>
      <c r="K85" s="1">
        <f t="shared" si="15"/>
        <v>80</v>
      </c>
      <c r="L85" s="1"/>
      <c r="M85" s="3"/>
      <c r="N85" s="3"/>
      <c r="O85" s="3"/>
      <c r="P85" s="3"/>
      <c r="Q85" s="3"/>
      <c r="R85" s="1"/>
    </row>
    <row r="86" spans="2:18" x14ac:dyDescent="0.2">
      <c r="B86">
        <v>74</v>
      </c>
      <c r="C86" s="1">
        <v>-1.3649363506999281</v>
      </c>
      <c r="D86" s="1">
        <f t="shared" si="8"/>
        <v>38.714274244938181</v>
      </c>
      <c r="E86" s="18">
        <f t="shared" si="9"/>
        <v>41.285725755061819</v>
      </c>
      <c r="F86" s="1">
        <f t="shared" si="14"/>
        <v>80</v>
      </c>
      <c r="G86" s="9">
        <f t="shared" si="10"/>
        <v>0</v>
      </c>
      <c r="H86" s="9">
        <f t="shared" si="11"/>
        <v>80</v>
      </c>
      <c r="I86" s="9">
        <f t="shared" si="12"/>
        <v>0</v>
      </c>
      <c r="J86" s="9">
        <f t="shared" si="13"/>
        <v>0</v>
      </c>
      <c r="K86" s="1">
        <f t="shared" si="15"/>
        <v>80</v>
      </c>
      <c r="L86" s="1"/>
      <c r="M86" s="3"/>
      <c r="N86" s="3"/>
      <c r="O86" s="3"/>
      <c r="P86" s="3"/>
      <c r="Q86" s="3"/>
      <c r="R86" s="1"/>
    </row>
    <row r="87" spans="2:18" x14ac:dyDescent="0.2">
      <c r="B87">
        <v>75</v>
      </c>
      <c r="C87" s="1">
        <v>-1.3591002622799708</v>
      </c>
      <c r="D87" s="1">
        <f t="shared" si="8"/>
        <v>38.850075827754679</v>
      </c>
      <c r="E87" s="18">
        <f t="shared" si="9"/>
        <v>41.149924172245321</v>
      </c>
      <c r="F87" s="1">
        <f t="shared" si="14"/>
        <v>80</v>
      </c>
      <c r="G87" s="9">
        <f t="shared" si="10"/>
        <v>0</v>
      </c>
      <c r="H87" s="9">
        <f t="shared" si="11"/>
        <v>80</v>
      </c>
      <c r="I87" s="9">
        <f t="shared" si="12"/>
        <v>0</v>
      </c>
      <c r="J87" s="9">
        <f t="shared" si="13"/>
        <v>0</v>
      </c>
      <c r="K87" s="1">
        <f t="shared" si="15"/>
        <v>80</v>
      </c>
      <c r="L87" s="1"/>
      <c r="M87" s="3"/>
      <c r="N87" s="3"/>
      <c r="O87" s="3"/>
      <c r="P87" s="3"/>
      <c r="Q87" s="3"/>
      <c r="R87" s="1"/>
    </row>
    <row r="88" spans="2:18" x14ac:dyDescent="0.2">
      <c r="B88">
        <v>76</v>
      </c>
      <c r="C88" s="1">
        <v>-1.359042780593384</v>
      </c>
      <c r="D88" s="1">
        <f t="shared" si="8"/>
        <v>38.851415751590437</v>
      </c>
      <c r="E88" s="18">
        <f t="shared" si="9"/>
        <v>41.148584248409563</v>
      </c>
      <c r="F88" s="1">
        <f t="shared" si="14"/>
        <v>80</v>
      </c>
      <c r="G88" s="9">
        <f t="shared" si="10"/>
        <v>0</v>
      </c>
      <c r="H88" s="9">
        <f t="shared" si="11"/>
        <v>80</v>
      </c>
      <c r="I88" s="9">
        <f t="shared" si="12"/>
        <v>0</v>
      </c>
      <c r="J88" s="9">
        <f t="shared" si="13"/>
        <v>0</v>
      </c>
      <c r="K88" s="1">
        <f t="shared" si="15"/>
        <v>80</v>
      </c>
      <c r="L88" s="1"/>
      <c r="M88" s="3"/>
      <c r="N88" s="3"/>
      <c r="O88" s="3"/>
      <c r="P88" s="3"/>
      <c r="Q88" s="3"/>
      <c r="R88" s="1"/>
    </row>
    <row r="89" spans="2:18" x14ac:dyDescent="0.2">
      <c r="B89">
        <v>77</v>
      </c>
      <c r="C89" s="1">
        <v>-1.3565447017931636</v>
      </c>
      <c r="D89" s="1">
        <f t="shared" si="8"/>
        <v>38.909691752922079</v>
      </c>
      <c r="E89" s="18">
        <f t="shared" si="9"/>
        <v>41.090308247077921</v>
      </c>
      <c r="F89" s="1">
        <f t="shared" si="14"/>
        <v>80</v>
      </c>
      <c r="G89" s="9">
        <f t="shared" si="10"/>
        <v>0</v>
      </c>
      <c r="H89" s="9">
        <f t="shared" si="11"/>
        <v>80</v>
      </c>
      <c r="I89" s="9">
        <f t="shared" si="12"/>
        <v>0</v>
      </c>
      <c r="J89" s="9">
        <f t="shared" si="13"/>
        <v>0</v>
      </c>
      <c r="K89" s="1">
        <f t="shared" si="15"/>
        <v>80</v>
      </c>
      <c r="L89" s="1"/>
      <c r="M89" s="3"/>
      <c r="N89" s="3"/>
      <c r="O89" s="3"/>
      <c r="P89" s="3"/>
      <c r="Q89" s="3"/>
      <c r="R89" s="1"/>
    </row>
    <row r="90" spans="2:18" x14ac:dyDescent="0.2">
      <c r="B90">
        <v>78</v>
      </c>
      <c r="C90" s="1">
        <v>-1.3563575257025378</v>
      </c>
      <c r="D90" s="1">
        <f t="shared" si="8"/>
        <v>38.914061776700528</v>
      </c>
      <c r="E90" s="18">
        <f t="shared" si="9"/>
        <v>41.085938223299472</v>
      </c>
      <c r="F90" s="1">
        <f t="shared" si="14"/>
        <v>80</v>
      </c>
      <c r="G90" s="9">
        <f t="shared" si="10"/>
        <v>0</v>
      </c>
      <c r="H90" s="9">
        <f t="shared" si="11"/>
        <v>80</v>
      </c>
      <c r="I90" s="9">
        <f t="shared" si="12"/>
        <v>0</v>
      </c>
      <c r="J90" s="9">
        <f t="shared" si="13"/>
        <v>0</v>
      </c>
      <c r="K90" s="1">
        <f t="shared" si="15"/>
        <v>80</v>
      </c>
      <c r="L90" s="1"/>
      <c r="M90" s="3"/>
      <c r="N90" s="3"/>
      <c r="O90" s="3"/>
      <c r="P90" s="3"/>
      <c r="Q90" s="3"/>
      <c r="R90" s="1"/>
    </row>
    <row r="91" spans="2:18" x14ac:dyDescent="0.2">
      <c r="B91">
        <v>79</v>
      </c>
      <c r="C91" s="1">
        <v>-1.3561880099729653</v>
      </c>
      <c r="D91" s="1">
        <f t="shared" si="8"/>
        <v>38.918019905330262</v>
      </c>
      <c r="E91" s="18">
        <f t="shared" si="9"/>
        <v>41.081980094669738</v>
      </c>
      <c r="F91" s="1">
        <f t="shared" si="14"/>
        <v>80</v>
      </c>
      <c r="G91" s="9">
        <f t="shared" si="10"/>
        <v>0</v>
      </c>
      <c r="H91" s="9">
        <f t="shared" si="11"/>
        <v>80</v>
      </c>
      <c r="I91" s="9">
        <f t="shared" si="12"/>
        <v>0</v>
      </c>
      <c r="J91" s="9">
        <f t="shared" si="13"/>
        <v>0</v>
      </c>
      <c r="K91" s="1">
        <f t="shared" si="15"/>
        <v>80</v>
      </c>
      <c r="L91" s="1"/>
      <c r="M91" s="3"/>
      <c r="N91" s="3"/>
      <c r="O91" s="3"/>
      <c r="P91" s="3"/>
      <c r="Q91" s="3"/>
      <c r="R91" s="1"/>
    </row>
    <row r="92" spans="2:18" x14ac:dyDescent="0.2">
      <c r="B92">
        <v>80</v>
      </c>
      <c r="C92" s="1">
        <v>-1.3519886608412528</v>
      </c>
      <c r="D92" s="1">
        <f t="shared" si="8"/>
        <v>39.016201755206801</v>
      </c>
      <c r="E92" s="18">
        <f t="shared" si="9"/>
        <v>40.983798244793199</v>
      </c>
      <c r="F92" s="1">
        <f t="shared" si="14"/>
        <v>80</v>
      </c>
      <c r="G92" s="9">
        <f t="shared" si="10"/>
        <v>0</v>
      </c>
      <c r="H92" s="9">
        <f t="shared" si="11"/>
        <v>80</v>
      </c>
      <c r="I92" s="9">
        <f t="shared" si="12"/>
        <v>0</v>
      </c>
      <c r="J92" s="9">
        <f t="shared" si="13"/>
        <v>0</v>
      </c>
      <c r="K92" s="1">
        <f t="shared" si="15"/>
        <v>80</v>
      </c>
      <c r="L92" s="1"/>
      <c r="M92" s="3"/>
      <c r="N92" s="3"/>
      <c r="O92" s="3"/>
      <c r="P92" s="3"/>
      <c r="Q92" s="3"/>
      <c r="R92" s="1"/>
    </row>
    <row r="93" spans="2:18" x14ac:dyDescent="0.2">
      <c r="B93">
        <v>81</v>
      </c>
      <c r="C93" s="1">
        <v>-1.3460725579128234</v>
      </c>
      <c r="D93" s="1">
        <f t="shared" si="8"/>
        <v>39.154942169575875</v>
      </c>
      <c r="E93" s="18">
        <f t="shared" si="9"/>
        <v>40.845057830424125</v>
      </c>
      <c r="F93" s="1">
        <f t="shared" si="14"/>
        <v>80</v>
      </c>
      <c r="G93" s="9">
        <f t="shared" si="10"/>
        <v>0</v>
      </c>
      <c r="H93" s="9">
        <f t="shared" si="11"/>
        <v>80</v>
      </c>
      <c r="I93" s="9">
        <f t="shared" si="12"/>
        <v>0</v>
      </c>
      <c r="J93" s="9">
        <f t="shared" si="13"/>
        <v>0</v>
      </c>
      <c r="K93" s="1">
        <f t="shared" si="15"/>
        <v>80</v>
      </c>
      <c r="L93" s="1"/>
      <c r="M93" s="3"/>
      <c r="N93" s="3"/>
      <c r="O93" s="3"/>
      <c r="P93" s="3"/>
      <c r="Q93" s="3"/>
      <c r="R93" s="1"/>
    </row>
    <row r="94" spans="2:18" x14ac:dyDescent="0.2">
      <c r="B94">
        <v>82</v>
      </c>
      <c r="C94" s="1">
        <v>-1.3439525658825391</v>
      </c>
      <c r="D94" s="1">
        <f t="shared" si="8"/>
        <v>39.204778758014896</v>
      </c>
      <c r="E94" s="18">
        <f t="shared" si="9"/>
        <v>40.795221241985104</v>
      </c>
      <c r="F94" s="1">
        <f t="shared" si="14"/>
        <v>80</v>
      </c>
      <c r="G94" s="9">
        <f t="shared" si="10"/>
        <v>0</v>
      </c>
      <c r="H94" s="9">
        <f t="shared" si="11"/>
        <v>80</v>
      </c>
      <c r="I94" s="9">
        <f t="shared" si="12"/>
        <v>0</v>
      </c>
      <c r="J94" s="9">
        <f t="shared" si="13"/>
        <v>0</v>
      </c>
      <c r="K94" s="1">
        <f t="shared" si="15"/>
        <v>80</v>
      </c>
      <c r="L94" s="1"/>
      <c r="M94" s="3"/>
      <c r="N94" s="3"/>
      <c r="O94" s="3"/>
      <c r="P94" s="3"/>
      <c r="Q94" s="3"/>
      <c r="R94" s="1"/>
    </row>
    <row r="95" spans="2:18" x14ac:dyDescent="0.2">
      <c r="B95">
        <v>83</v>
      </c>
      <c r="C95" s="1">
        <v>-1.3374144319565502</v>
      </c>
      <c r="D95" s="1">
        <f t="shared" si="8"/>
        <v>39.35887647027694</v>
      </c>
      <c r="E95" s="18">
        <f t="shared" si="9"/>
        <v>40.64112352972306</v>
      </c>
      <c r="F95" s="1">
        <f t="shared" si="14"/>
        <v>80</v>
      </c>
      <c r="G95" s="9">
        <f t="shared" si="10"/>
        <v>0</v>
      </c>
      <c r="H95" s="9">
        <f t="shared" si="11"/>
        <v>80</v>
      </c>
      <c r="I95" s="9">
        <f t="shared" si="12"/>
        <v>0</v>
      </c>
      <c r="J95" s="9">
        <f t="shared" si="13"/>
        <v>0</v>
      </c>
      <c r="K95" s="1">
        <f t="shared" si="15"/>
        <v>80</v>
      </c>
      <c r="L95" s="1"/>
      <c r="M95" s="3"/>
      <c r="N95" s="3"/>
      <c r="O95" s="3"/>
      <c r="P95" s="3"/>
      <c r="Q95" s="3"/>
      <c r="R95" s="1"/>
    </row>
    <row r="96" spans="2:18" x14ac:dyDescent="0.2">
      <c r="B96">
        <v>84</v>
      </c>
      <c r="C96" s="1">
        <v>-1.3312347575223382</v>
      </c>
      <c r="D96" s="1">
        <f t="shared" si="8"/>
        <v>39.505082379862074</v>
      </c>
      <c r="E96" s="18">
        <f t="shared" si="9"/>
        <v>40.494917620137926</v>
      </c>
      <c r="F96" s="1">
        <f t="shared" si="14"/>
        <v>80</v>
      </c>
      <c r="G96" s="9">
        <f t="shared" si="10"/>
        <v>0</v>
      </c>
      <c r="H96" s="9">
        <f t="shared" si="11"/>
        <v>80</v>
      </c>
      <c r="I96" s="9">
        <f t="shared" si="12"/>
        <v>0</v>
      </c>
      <c r="J96" s="9">
        <f t="shared" si="13"/>
        <v>0</v>
      </c>
      <c r="K96" s="1">
        <f t="shared" si="15"/>
        <v>80</v>
      </c>
      <c r="L96" s="1"/>
      <c r="M96" s="3"/>
      <c r="N96" s="3"/>
      <c r="O96" s="3"/>
      <c r="P96" s="3"/>
      <c r="Q96" s="3"/>
      <c r="R96" s="1"/>
    </row>
    <row r="97" spans="2:18" x14ac:dyDescent="0.2">
      <c r="B97">
        <v>85</v>
      </c>
      <c r="C97" s="1">
        <v>-1.3237041169421675</v>
      </c>
      <c r="D97" s="1">
        <f t="shared" si="8"/>
        <v>39.683985397684978</v>
      </c>
      <c r="E97" s="18">
        <f t="shared" si="9"/>
        <v>40.316014602315022</v>
      </c>
      <c r="F97" s="1">
        <f t="shared" si="14"/>
        <v>80</v>
      </c>
      <c r="G97" s="9">
        <f t="shared" si="10"/>
        <v>0</v>
      </c>
      <c r="H97" s="9">
        <f t="shared" si="11"/>
        <v>80</v>
      </c>
      <c r="I97" s="9">
        <f t="shared" si="12"/>
        <v>0</v>
      </c>
      <c r="J97" s="9">
        <f t="shared" si="13"/>
        <v>0</v>
      </c>
      <c r="K97" s="1">
        <f t="shared" si="15"/>
        <v>80</v>
      </c>
      <c r="L97" s="1"/>
      <c r="M97" s="3"/>
      <c r="N97" s="3"/>
      <c r="O97" s="3"/>
      <c r="P97" s="3"/>
      <c r="Q97" s="3"/>
      <c r="R97" s="1"/>
    </row>
    <row r="98" spans="2:18" x14ac:dyDescent="0.2">
      <c r="B98">
        <v>86</v>
      </c>
      <c r="C98" s="1">
        <v>-1.3214354426915216</v>
      </c>
      <c r="D98" s="1">
        <f t="shared" si="8"/>
        <v>39.738040200661302</v>
      </c>
      <c r="E98" s="18">
        <f t="shared" si="9"/>
        <v>40.261959799338698</v>
      </c>
      <c r="F98" s="1">
        <f t="shared" si="14"/>
        <v>80</v>
      </c>
      <c r="G98" s="9">
        <f t="shared" si="10"/>
        <v>0</v>
      </c>
      <c r="H98" s="9">
        <f t="shared" si="11"/>
        <v>80</v>
      </c>
      <c r="I98" s="9">
        <f t="shared" si="12"/>
        <v>0</v>
      </c>
      <c r="J98" s="9">
        <f t="shared" si="13"/>
        <v>0</v>
      </c>
      <c r="K98" s="1">
        <f t="shared" si="15"/>
        <v>80</v>
      </c>
      <c r="L98" s="1"/>
      <c r="M98" s="3"/>
      <c r="N98" s="3"/>
      <c r="O98" s="3"/>
      <c r="P98" s="3"/>
      <c r="Q98" s="3"/>
      <c r="R98" s="1"/>
    </row>
    <row r="99" spans="2:18" x14ac:dyDescent="0.2">
      <c r="B99">
        <v>87</v>
      </c>
      <c r="C99" s="1">
        <v>-1.3200384154699825</v>
      </c>
      <c r="D99" s="1">
        <f t="shared" si="8"/>
        <v>39.771363239002284</v>
      </c>
      <c r="E99" s="18">
        <f t="shared" si="9"/>
        <v>40.228636760997716</v>
      </c>
      <c r="F99" s="1">
        <f t="shared" si="14"/>
        <v>80</v>
      </c>
      <c r="G99" s="9">
        <f t="shared" si="10"/>
        <v>0</v>
      </c>
      <c r="H99" s="9">
        <f t="shared" si="11"/>
        <v>80</v>
      </c>
      <c r="I99" s="9">
        <f t="shared" si="12"/>
        <v>0</v>
      </c>
      <c r="J99" s="9">
        <f t="shared" si="13"/>
        <v>0</v>
      </c>
      <c r="K99" s="1">
        <f t="shared" si="15"/>
        <v>80</v>
      </c>
      <c r="L99" s="1"/>
      <c r="M99" s="3"/>
      <c r="N99" s="3"/>
      <c r="O99" s="3"/>
      <c r="P99" s="3"/>
      <c r="Q99" s="3"/>
      <c r="R99" s="1"/>
    </row>
    <row r="100" spans="2:18" x14ac:dyDescent="0.2">
      <c r="B100">
        <v>88</v>
      </c>
      <c r="C100" s="1">
        <v>-1.3198686904220989</v>
      </c>
      <c r="D100" s="1">
        <f t="shared" si="8"/>
        <v>39.7754135631493</v>
      </c>
      <c r="E100" s="18">
        <f t="shared" si="9"/>
        <v>40.2245864368507</v>
      </c>
      <c r="F100" s="1">
        <f t="shared" si="14"/>
        <v>80</v>
      </c>
      <c r="G100" s="9">
        <f t="shared" si="10"/>
        <v>0</v>
      </c>
      <c r="H100" s="9">
        <f t="shared" si="11"/>
        <v>80</v>
      </c>
      <c r="I100" s="9">
        <f t="shared" si="12"/>
        <v>0</v>
      </c>
      <c r="J100" s="9">
        <f t="shared" si="13"/>
        <v>0</v>
      </c>
      <c r="K100" s="1">
        <f t="shared" si="15"/>
        <v>80</v>
      </c>
      <c r="L100" s="1"/>
      <c r="M100" s="3"/>
      <c r="N100" s="3"/>
      <c r="O100" s="3"/>
      <c r="P100" s="3"/>
      <c r="Q100" s="3"/>
      <c r="R100" s="1"/>
    </row>
    <row r="101" spans="2:18" x14ac:dyDescent="0.2">
      <c r="B101">
        <v>89</v>
      </c>
      <c r="C101" s="1">
        <v>-1.3129758579929625</v>
      </c>
      <c r="D101" s="1">
        <f t="shared" si="8"/>
        <v>39.940253348397029</v>
      </c>
      <c r="E101" s="18">
        <f t="shared" si="9"/>
        <v>40.059746651602971</v>
      </c>
      <c r="F101" s="1">
        <f t="shared" si="14"/>
        <v>80</v>
      </c>
      <c r="G101" s="9">
        <f t="shared" si="10"/>
        <v>0</v>
      </c>
      <c r="H101" s="9">
        <f t="shared" si="11"/>
        <v>80</v>
      </c>
      <c r="I101" s="9">
        <f t="shared" si="12"/>
        <v>0</v>
      </c>
      <c r="J101" s="9">
        <f t="shared" si="13"/>
        <v>0</v>
      </c>
      <c r="K101" s="1">
        <f t="shared" si="15"/>
        <v>80</v>
      </c>
      <c r="L101" s="1"/>
      <c r="M101" s="3"/>
      <c r="N101" s="3"/>
      <c r="O101" s="3"/>
      <c r="P101" s="3"/>
      <c r="Q101" s="3"/>
      <c r="R101" s="1"/>
    </row>
    <row r="102" spans="2:18" x14ac:dyDescent="0.2">
      <c r="B102">
        <v>90</v>
      </c>
      <c r="C102" s="1">
        <v>-1.3125416937625047</v>
      </c>
      <c r="D102" s="1">
        <f t="shared" si="8"/>
        <v>39.950659081292869</v>
      </c>
      <c r="E102" s="18">
        <f t="shared" si="9"/>
        <v>40.049340918707131</v>
      </c>
      <c r="F102" s="1">
        <f t="shared" si="14"/>
        <v>80</v>
      </c>
      <c r="G102" s="9">
        <f t="shared" si="10"/>
        <v>0</v>
      </c>
      <c r="H102" s="9">
        <f t="shared" si="11"/>
        <v>80</v>
      </c>
      <c r="I102" s="9">
        <f t="shared" si="12"/>
        <v>0</v>
      </c>
      <c r="J102" s="9">
        <f t="shared" si="13"/>
        <v>0</v>
      </c>
      <c r="K102" s="1">
        <f t="shared" si="15"/>
        <v>80</v>
      </c>
      <c r="L102" s="1"/>
      <c r="M102" s="3"/>
      <c r="N102" s="3"/>
      <c r="O102" s="3"/>
      <c r="P102" s="3"/>
      <c r="Q102" s="3"/>
      <c r="R102" s="1"/>
    </row>
    <row r="103" spans="2:18" x14ac:dyDescent="0.2">
      <c r="B103">
        <v>91</v>
      </c>
      <c r="C103" s="1">
        <v>-1.3115149530965806</v>
      </c>
      <c r="D103" s="1">
        <f t="shared" si="8"/>
        <v>39.975278043486703</v>
      </c>
      <c r="E103" s="18">
        <f t="shared" si="9"/>
        <v>40.024721956513297</v>
      </c>
      <c r="F103" s="1">
        <f t="shared" si="14"/>
        <v>80</v>
      </c>
      <c r="G103" s="9">
        <f t="shared" si="10"/>
        <v>0</v>
      </c>
      <c r="H103" s="9">
        <f t="shared" si="11"/>
        <v>80</v>
      </c>
      <c r="I103" s="9">
        <f t="shared" si="12"/>
        <v>0</v>
      </c>
      <c r="J103" s="9">
        <f t="shared" si="13"/>
        <v>0</v>
      </c>
      <c r="K103" s="1">
        <f t="shared" si="15"/>
        <v>80</v>
      </c>
      <c r="L103" s="1"/>
      <c r="M103" s="3"/>
      <c r="N103" s="3"/>
      <c r="O103" s="3"/>
      <c r="P103" s="3"/>
      <c r="Q103" s="3"/>
      <c r="R103" s="1"/>
    </row>
    <row r="104" spans="2:18" x14ac:dyDescent="0.2">
      <c r="B104">
        <v>92</v>
      </c>
      <c r="C104" s="1">
        <v>-1.3112814967902657</v>
      </c>
      <c r="D104" s="1">
        <f t="shared" si="8"/>
        <v>39.980877924129352</v>
      </c>
      <c r="E104" s="18">
        <f t="shared" si="9"/>
        <v>40.019122075870648</v>
      </c>
      <c r="F104" s="1">
        <f t="shared" si="14"/>
        <v>80</v>
      </c>
      <c r="G104" s="9">
        <f t="shared" si="10"/>
        <v>0</v>
      </c>
      <c r="H104" s="9">
        <f t="shared" si="11"/>
        <v>80</v>
      </c>
      <c r="I104" s="9">
        <f t="shared" si="12"/>
        <v>0</v>
      </c>
      <c r="J104" s="9">
        <f t="shared" si="13"/>
        <v>0</v>
      </c>
      <c r="K104" s="1">
        <f t="shared" si="15"/>
        <v>80</v>
      </c>
      <c r="L104" s="1"/>
      <c r="M104" s="3"/>
      <c r="N104" s="3"/>
      <c r="O104" s="3"/>
      <c r="P104" s="3"/>
      <c r="Q104" s="3"/>
      <c r="R104" s="1"/>
    </row>
    <row r="105" spans="2:18" x14ac:dyDescent="0.2">
      <c r="B105">
        <v>93</v>
      </c>
      <c r="C105" s="1">
        <v>-1.3075456925466884</v>
      </c>
      <c r="D105" s="1">
        <f t="shared" si="8"/>
        <v>40.070594876103549</v>
      </c>
      <c r="E105" s="18">
        <f t="shared" si="9"/>
        <v>39.929405123896451</v>
      </c>
      <c r="F105" s="1">
        <f t="shared" si="14"/>
        <v>80</v>
      </c>
      <c r="G105" s="9">
        <f t="shared" si="10"/>
        <v>0</v>
      </c>
      <c r="H105" s="9">
        <f t="shared" si="11"/>
        <v>80</v>
      </c>
      <c r="I105" s="9">
        <f t="shared" si="12"/>
        <v>0</v>
      </c>
      <c r="J105" s="9">
        <f t="shared" si="13"/>
        <v>0</v>
      </c>
      <c r="K105" s="1">
        <f t="shared" si="15"/>
        <v>80</v>
      </c>
      <c r="L105" s="1"/>
      <c r="M105" s="3"/>
      <c r="N105" s="3"/>
      <c r="O105" s="3"/>
      <c r="P105" s="3"/>
      <c r="Q105" s="3"/>
      <c r="R105" s="1"/>
    </row>
    <row r="106" spans="2:18" x14ac:dyDescent="0.2">
      <c r="B106">
        <v>94</v>
      </c>
      <c r="C106" s="1">
        <v>-1.3065598736860797</v>
      </c>
      <c r="D106" s="1">
        <f t="shared" si="8"/>
        <v>40.09430329598537</v>
      </c>
      <c r="E106" s="18">
        <f t="shared" si="9"/>
        <v>39.90569670401463</v>
      </c>
      <c r="F106" s="1">
        <f t="shared" si="14"/>
        <v>80</v>
      </c>
      <c r="G106" s="9">
        <f t="shared" si="10"/>
        <v>0</v>
      </c>
      <c r="H106" s="9">
        <f t="shared" si="11"/>
        <v>80</v>
      </c>
      <c r="I106" s="9">
        <f t="shared" si="12"/>
        <v>0</v>
      </c>
      <c r="J106" s="9">
        <f t="shared" si="13"/>
        <v>0</v>
      </c>
      <c r="K106" s="1">
        <f t="shared" si="15"/>
        <v>80</v>
      </c>
      <c r="L106" s="1"/>
      <c r="M106" s="3"/>
      <c r="N106" s="3"/>
      <c r="O106" s="3"/>
      <c r="P106" s="3"/>
      <c r="Q106" s="3"/>
      <c r="R106" s="1"/>
    </row>
    <row r="107" spans="2:18" x14ac:dyDescent="0.2">
      <c r="B107">
        <v>95</v>
      </c>
      <c r="C107" s="1">
        <v>-1.3018030907750133</v>
      </c>
      <c r="D107" s="1">
        <f t="shared" si="8"/>
        <v>40.208898687867148</v>
      </c>
      <c r="E107" s="18">
        <f t="shared" si="9"/>
        <v>39.791101312132852</v>
      </c>
      <c r="F107" s="1">
        <f t="shared" si="14"/>
        <v>80</v>
      </c>
      <c r="G107" s="9">
        <f t="shared" si="10"/>
        <v>0</v>
      </c>
      <c r="H107" s="9">
        <f t="shared" si="11"/>
        <v>80</v>
      </c>
      <c r="I107" s="9">
        <f t="shared" si="12"/>
        <v>0</v>
      </c>
      <c r="J107" s="9">
        <f t="shared" si="13"/>
        <v>0</v>
      </c>
      <c r="K107" s="1">
        <f t="shared" si="15"/>
        <v>80</v>
      </c>
      <c r="L107" s="1"/>
      <c r="M107" s="3"/>
      <c r="N107" s="3"/>
      <c r="O107" s="3"/>
      <c r="P107" s="3"/>
      <c r="Q107" s="3"/>
      <c r="R107" s="1"/>
    </row>
    <row r="108" spans="2:18" x14ac:dyDescent="0.2">
      <c r="B108">
        <v>96</v>
      </c>
      <c r="C108" s="1">
        <v>-1.2904626104723078</v>
      </c>
      <c r="D108" s="1">
        <f t="shared" si="8"/>
        <v>40.483424539335047</v>
      </c>
      <c r="E108" s="18">
        <f t="shared" si="9"/>
        <v>39.516575460664953</v>
      </c>
      <c r="F108" s="1">
        <f t="shared" si="14"/>
        <v>80</v>
      </c>
      <c r="G108" s="9">
        <f t="shared" si="10"/>
        <v>0</v>
      </c>
      <c r="H108" s="9">
        <f t="shared" si="11"/>
        <v>80</v>
      </c>
      <c r="I108" s="9">
        <f t="shared" si="12"/>
        <v>0</v>
      </c>
      <c r="J108" s="9">
        <f t="shared" si="13"/>
        <v>0</v>
      </c>
      <c r="K108" s="1">
        <f t="shared" si="15"/>
        <v>80</v>
      </c>
      <c r="L108" s="1"/>
      <c r="M108" s="3"/>
      <c r="N108" s="3"/>
      <c r="O108" s="3"/>
      <c r="P108" s="3"/>
      <c r="Q108" s="3"/>
      <c r="R108" s="1"/>
    </row>
    <row r="109" spans="2:18" x14ac:dyDescent="0.2">
      <c r="B109">
        <v>97</v>
      </c>
      <c r="C109" s="1">
        <v>-1.2872978865043718</v>
      </c>
      <c r="D109" s="1">
        <f t="shared" si="8"/>
        <v>40.560368886868517</v>
      </c>
      <c r="E109" s="18">
        <f t="shared" si="9"/>
        <v>39.439631113131483</v>
      </c>
      <c r="F109" s="1">
        <f t="shared" si="14"/>
        <v>80</v>
      </c>
      <c r="G109" s="9">
        <f t="shared" si="10"/>
        <v>0</v>
      </c>
      <c r="H109" s="9">
        <f t="shared" si="11"/>
        <v>80</v>
      </c>
      <c r="I109" s="9">
        <f t="shared" si="12"/>
        <v>0</v>
      </c>
      <c r="J109" s="9">
        <f t="shared" si="13"/>
        <v>0</v>
      </c>
      <c r="K109" s="1">
        <f t="shared" si="15"/>
        <v>80</v>
      </c>
      <c r="L109" s="1"/>
      <c r="M109" s="3"/>
      <c r="N109" s="3"/>
      <c r="O109" s="3"/>
      <c r="P109" s="3"/>
      <c r="Q109" s="3"/>
      <c r="R109" s="1"/>
    </row>
    <row r="110" spans="2:18" x14ac:dyDescent="0.2">
      <c r="B110">
        <v>98</v>
      </c>
      <c r="C110" s="1">
        <v>-1.2826225745869835</v>
      </c>
      <c r="D110" s="1">
        <f t="shared" si="8"/>
        <v>40.674308048105992</v>
      </c>
      <c r="E110" s="18">
        <f t="shared" si="9"/>
        <v>39.325691951894008</v>
      </c>
      <c r="F110" s="1">
        <f t="shared" si="14"/>
        <v>80</v>
      </c>
      <c r="G110" s="9">
        <f t="shared" si="10"/>
        <v>0</v>
      </c>
      <c r="H110" s="9">
        <f t="shared" si="11"/>
        <v>80</v>
      </c>
      <c r="I110" s="9">
        <f t="shared" si="12"/>
        <v>0</v>
      </c>
      <c r="J110" s="9">
        <f t="shared" si="13"/>
        <v>0</v>
      </c>
      <c r="K110" s="1">
        <f t="shared" si="15"/>
        <v>80</v>
      </c>
      <c r="L110" s="1"/>
      <c r="M110" s="3"/>
      <c r="N110" s="3"/>
      <c r="O110" s="3"/>
      <c r="P110" s="3"/>
      <c r="Q110" s="3"/>
      <c r="R110" s="1"/>
    </row>
    <row r="111" spans="2:18" x14ac:dyDescent="0.2">
      <c r="B111">
        <v>99</v>
      </c>
      <c r="C111" s="1">
        <v>-1.2741568396132978</v>
      </c>
      <c r="D111" s="1">
        <f t="shared" si="8"/>
        <v>40.881436398186985</v>
      </c>
      <c r="E111" s="18">
        <f t="shared" si="9"/>
        <v>39.118563601813015</v>
      </c>
      <c r="F111" s="1">
        <f t="shared" si="14"/>
        <v>80</v>
      </c>
      <c r="G111" s="9">
        <f t="shared" si="10"/>
        <v>0</v>
      </c>
      <c r="H111" s="9">
        <f t="shared" si="11"/>
        <v>80</v>
      </c>
      <c r="I111" s="9">
        <f t="shared" si="12"/>
        <v>0</v>
      </c>
      <c r="J111" s="9">
        <f t="shared" si="13"/>
        <v>0</v>
      </c>
      <c r="K111" s="1">
        <f t="shared" si="15"/>
        <v>80</v>
      </c>
      <c r="L111" s="1"/>
      <c r="M111" s="3"/>
      <c r="N111" s="3"/>
      <c r="O111" s="3"/>
      <c r="P111" s="3"/>
      <c r="Q111" s="3"/>
      <c r="R111" s="1"/>
    </row>
    <row r="112" spans="2:18" x14ac:dyDescent="0.2">
      <c r="B112">
        <v>100</v>
      </c>
      <c r="C112" s="1">
        <v>-1.2547083277667175</v>
      </c>
      <c r="D112" s="1">
        <f t="shared" si="8"/>
        <v>41.361280489350733</v>
      </c>
      <c r="E112" s="18">
        <f t="shared" si="9"/>
        <v>38.638719510649267</v>
      </c>
      <c r="F112" s="1">
        <f t="shared" si="14"/>
        <v>80</v>
      </c>
      <c r="G112" s="9">
        <f t="shared" si="10"/>
        <v>0</v>
      </c>
      <c r="H112" s="9">
        <f t="shared" si="11"/>
        <v>80</v>
      </c>
      <c r="I112" s="9">
        <f t="shared" si="12"/>
        <v>0</v>
      </c>
      <c r="J112" s="9">
        <f t="shared" si="13"/>
        <v>0</v>
      </c>
      <c r="K112" s="1">
        <f t="shared" si="15"/>
        <v>80</v>
      </c>
      <c r="L112" s="1"/>
      <c r="M112" s="3"/>
      <c r="N112" s="3"/>
      <c r="O112" s="3"/>
      <c r="P112" s="3"/>
      <c r="Q112" s="3"/>
      <c r="R112" s="1"/>
    </row>
    <row r="113" spans="2:18" x14ac:dyDescent="0.2">
      <c r="B113">
        <v>101</v>
      </c>
      <c r="C113" s="1">
        <v>-1.2543613875916646</v>
      </c>
      <c r="D113" s="1">
        <f t="shared" si="8"/>
        <v>41.369891319488538</v>
      </c>
      <c r="E113" s="18">
        <f t="shared" si="9"/>
        <v>38.630108680511462</v>
      </c>
      <c r="F113" s="1">
        <f t="shared" si="14"/>
        <v>80</v>
      </c>
      <c r="G113" s="9">
        <f t="shared" si="10"/>
        <v>0</v>
      </c>
      <c r="H113" s="9">
        <f t="shared" si="11"/>
        <v>80</v>
      </c>
      <c r="I113" s="9">
        <f t="shared" si="12"/>
        <v>0</v>
      </c>
      <c r="J113" s="9">
        <f t="shared" si="13"/>
        <v>0</v>
      </c>
      <c r="K113" s="1">
        <f t="shared" si="15"/>
        <v>80</v>
      </c>
      <c r="L113" s="1"/>
      <c r="M113" s="3"/>
      <c r="N113" s="3"/>
      <c r="O113" s="3"/>
      <c r="P113" s="3"/>
      <c r="Q113" s="3"/>
      <c r="R113" s="1"/>
    </row>
    <row r="114" spans="2:18" x14ac:dyDescent="0.2">
      <c r="B114">
        <v>102</v>
      </c>
      <c r="C114" s="1">
        <v>-1.2449088608200094</v>
      </c>
      <c r="D114" s="1">
        <f t="shared" si="8"/>
        <v>41.605187936187797</v>
      </c>
      <c r="E114" s="18">
        <f t="shared" si="9"/>
        <v>38.394812063812203</v>
      </c>
      <c r="F114" s="1">
        <f t="shared" si="14"/>
        <v>80</v>
      </c>
      <c r="G114" s="9">
        <f t="shared" si="10"/>
        <v>0</v>
      </c>
      <c r="H114" s="9">
        <f t="shared" si="11"/>
        <v>80</v>
      </c>
      <c r="I114" s="9">
        <f t="shared" si="12"/>
        <v>0</v>
      </c>
      <c r="J114" s="9">
        <f t="shared" si="13"/>
        <v>0</v>
      </c>
      <c r="K114" s="1">
        <f t="shared" si="15"/>
        <v>80</v>
      </c>
      <c r="L114" s="1"/>
      <c r="M114" s="3"/>
      <c r="N114" s="3"/>
      <c r="O114" s="3"/>
      <c r="P114" s="3"/>
      <c r="Q114" s="3"/>
      <c r="R114" s="1"/>
    </row>
    <row r="115" spans="2:18" x14ac:dyDescent="0.2">
      <c r="B115">
        <v>103</v>
      </c>
      <c r="C115" s="1">
        <v>-1.2436309318922525</v>
      </c>
      <c r="D115" s="1">
        <f t="shared" si="8"/>
        <v>41.6371012534347</v>
      </c>
      <c r="E115" s="18">
        <f t="shared" si="9"/>
        <v>38.3628987465653</v>
      </c>
      <c r="F115" s="1">
        <f t="shared" si="14"/>
        <v>80</v>
      </c>
      <c r="G115" s="9">
        <f t="shared" si="10"/>
        <v>0</v>
      </c>
      <c r="H115" s="9">
        <f t="shared" si="11"/>
        <v>80</v>
      </c>
      <c r="I115" s="9">
        <f t="shared" si="12"/>
        <v>0</v>
      </c>
      <c r="J115" s="9">
        <f t="shared" si="13"/>
        <v>0</v>
      </c>
      <c r="K115" s="1">
        <f t="shared" si="15"/>
        <v>80</v>
      </c>
      <c r="L115" s="1"/>
      <c r="M115" s="3"/>
      <c r="N115" s="3"/>
      <c r="O115" s="3"/>
      <c r="P115" s="3"/>
      <c r="Q115" s="3"/>
      <c r="R115" s="1"/>
    </row>
    <row r="116" spans="2:18" x14ac:dyDescent="0.2">
      <c r="B116">
        <v>104</v>
      </c>
      <c r="C116" s="1">
        <v>-1.2318846844032079</v>
      </c>
      <c r="D116" s="1">
        <f t="shared" si="8"/>
        <v>41.931585577853824</v>
      </c>
      <c r="E116" s="18">
        <f t="shared" si="9"/>
        <v>38.068414422146176</v>
      </c>
      <c r="F116" s="1">
        <f t="shared" si="14"/>
        <v>80</v>
      </c>
      <c r="G116" s="9">
        <f t="shared" si="10"/>
        <v>0</v>
      </c>
      <c r="H116" s="9">
        <f t="shared" si="11"/>
        <v>80</v>
      </c>
      <c r="I116" s="9">
        <f t="shared" si="12"/>
        <v>0</v>
      </c>
      <c r="J116" s="9">
        <f t="shared" si="13"/>
        <v>0</v>
      </c>
      <c r="K116" s="1">
        <f t="shared" si="15"/>
        <v>80</v>
      </c>
      <c r="L116" s="1"/>
      <c r="M116" s="3"/>
      <c r="N116" s="3"/>
      <c r="O116" s="3"/>
      <c r="P116" s="3"/>
      <c r="Q116" s="3"/>
      <c r="R116" s="1"/>
    </row>
    <row r="117" spans="2:18" x14ac:dyDescent="0.2">
      <c r="B117">
        <v>105</v>
      </c>
      <c r="C117" s="1">
        <v>-1.2273032025944668</v>
      </c>
      <c r="D117" s="1">
        <f t="shared" si="8"/>
        <v>42.047009426772718</v>
      </c>
      <c r="E117" s="18">
        <f t="shared" si="9"/>
        <v>37.952990573227282</v>
      </c>
      <c r="F117" s="1">
        <f t="shared" si="14"/>
        <v>80</v>
      </c>
      <c r="G117" s="9">
        <f t="shared" si="10"/>
        <v>0</v>
      </c>
      <c r="H117" s="9">
        <f t="shared" si="11"/>
        <v>80</v>
      </c>
      <c r="I117" s="9">
        <f t="shared" si="12"/>
        <v>0</v>
      </c>
      <c r="J117" s="9">
        <f t="shared" si="13"/>
        <v>0</v>
      </c>
      <c r="K117" s="1">
        <f t="shared" si="15"/>
        <v>80</v>
      </c>
      <c r="L117" s="1"/>
      <c r="M117" s="3"/>
      <c r="N117" s="3"/>
      <c r="O117" s="3"/>
      <c r="P117" s="3"/>
      <c r="Q117" s="3"/>
      <c r="R117" s="1"/>
    </row>
    <row r="118" spans="2:18" x14ac:dyDescent="0.2">
      <c r="B118">
        <v>106</v>
      </c>
      <c r="C118" s="1">
        <v>-1.2185808110425584</v>
      </c>
      <c r="D118" s="1">
        <f t="shared" si="8"/>
        <v>42.267636529891256</v>
      </c>
      <c r="E118" s="18">
        <f t="shared" si="9"/>
        <v>37.732363470108744</v>
      </c>
      <c r="F118" s="1">
        <f t="shared" si="14"/>
        <v>80</v>
      </c>
      <c r="G118" s="9">
        <f t="shared" si="10"/>
        <v>0</v>
      </c>
      <c r="H118" s="9">
        <f t="shared" si="11"/>
        <v>80</v>
      </c>
      <c r="I118" s="9">
        <f t="shared" si="12"/>
        <v>0</v>
      </c>
      <c r="J118" s="9">
        <f t="shared" si="13"/>
        <v>0</v>
      </c>
      <c r="K118" s="1">
        <f t="shared" si="15"/>
        <v>80</v>
      </c>
      <c r="L118" s="1"/>
      <c r="M118" s="3"/>
      <c r="N118" s="3"/>
      <c r="O118" s="3"/>
      <c r="P118" s="3"/>
      <c r="Q118" s="3"/>
      <c r="R118" s="1"/>
    </row>
    <row r="119" spans="2:18" x14ac:dyDescent="0.2">
      <c r="B119">
        <v>107</v>
      </c>
      <c r="C119" s="1">
        <v>-1.2097971945587958</v>
      </c>
      <c r="D119" s="1">
        <f t="shared" si="8"/>
        <v>42.490982173059209</v>
      </c>
      <c r="E119" s="18">
        <f t="shared" si="9"/>
        <v>37.509017826940791</v>
      </c>
      <c r="F119" s="1">
        <f t="shared" si="14"/>
        <v>80</v>
      </c>
      <c r="G119" s="9">
        <f t="shared" si="10"/>
        <v>0</v>
      </c>
      <c r="H119" s="9">
        <f t="shared" si="11"/>
        <v>80</v>
      </c>
      <c r="I119" s="9">
        <f t="shared" si="12"/>
        <v>0</v>
      </c>
      <c r="J119" s="9">
        <f t="shared" si="13"/>
        <v>0</v>
      </c>
      <c r="K119" s="1">
        <f t="shared" si="15"/>
        <v>80</v>
      </c>
      <c r="L119" s="1"/>
      <c r="M119" s="3"/>
      <c r="N119" s="3"/>
      <c r="O119" s="3"/>
      <c r="P119" s="3"/>
      <c r="Q119" s="3"/>
      <c r="R119" s="1"/>
    </row>
    <row r="120" spans="2:18" x14ac:dyDescent="0.2">
      <c r="B120">
        <v>108</v>
      </c>
      <c r="C120" s="1">
        <v>-1.2082571647408498</v>
      </c>
      <c r="D120" s="1">
        <f t="shared" si="8"/>
        <v>42.53026274596462</v>
      </c>
      <c r="E120" s="18">
        <f t="shared" si="9"/>
        <v>37.46973725403538</v>
      </c>
      <c r="F120" s="1">
        <f t="shared" si="14"/>
        <v>80</v>
      </c>
      <c r="G120" s="9">
        <f t="shared" si="10"/>
        <v>0</v>
      </c>
      <c r="H120" s="9">
        <f t="shared" si="11"/>
        <v>80</v>
      </c>
      <c r="I120" s="9">
        <f t="shared" si="12"/>
        <v>0</v>
      </c>
      <c r="J120" s="9">
        <f t="shared" si="13"/>
        <v>0</v>
      </c>
      <c r="K120" s="1">
        <f t="shared" si="15"/>
        <v>80</v>
      </c>
      <c r="L120" s="1"/>
      <c r="M120" s="3"/>
      <c r="N120" s="3"/>
      <c r="O120" s="3"/>
      <c r="P120" s="3"/>
      <c r="Q120" s="3"/>
      <c r="R120" s="1"/>
    </row>
    <row r="121" spans="2:18" x14ac:dyDescent="0.2">
      <c r="B121">
        <v>109</v>
      </c>
      <c r="C121" s="1">
        <v>-1.2076053388458283</v>
      </c>
      <c r="D121" s="1">
        <f t="shared" si="8"/>
        <v>42.546899394960079</v>
      </c>
      <c r="E121" s="18">
        <f t="shared" si="9"/>
        <v>37.453100605039921</v>
      </c>
      <c r="F121" s="1">
        <f t="shared" si="14"/>
        <v>80</v>
      </c>
      <c r="G121" s="9">
        <f t="shared" si="10"/>
        <v>0</v>
      </c>
      <c r="H121" s="9">
        <f t="shared" si="11"/>
        <v>80</v>
      </c>
      <c r="I121" s="9">
        <f t="shared" si="12"/>
        <v>0</v>
      </c>
      <c r="J121" s="9">
        <f t="shared" si="13"/>
        <v>0</v>
      </c>
      <c r="K121" s="1">
        <f t="shared" si="15"/>
        <v>80</v>
      </c>
      <c r="L121" s="1"/>
      <c r="M121" s="3"/>
      <c r="N121" s="3"/>
      <c r="O121" s="3"/>
      <c r="P121" s="3"/>
      <c r="Q121" s="3"/>
      <c r="R121" s="1"/>
    </row>
    <row r="122" spans="2:18" x14ac:dyDescent="0.2">
      <c r="B122">
        <v>110</v>
      </c>
      <c r="C122" s="1">
        <v>-1.2065912803257108</v>
      </c>
      <c r="D122" s="1">
        <f t="shared" si="8"/>
        <v>42.572794299347386</v>
      </c>
      <c r="E122" s="18">
        <f t="shared" si="9"/>
        <v>37.427205700652614</v>
      </c>
      <c r="F122" s="1">
        <f t="shared" si="14"/>
        <v>80</v>
      </c>
      <c r="G122" s="9">
        <f t="shared" si="10"/>
        <v>0</v>
      </c>
      <c r="H122" s="9">
        <f t="shared" si="11"/>
        <v>80</v>
      </c>
      <c r="I122" s="9">
        <f t="shared" si="12"/>
        <v>0</v>
      </c>
      <c r="J122" s="9">
        <f t="shared" si="13"/>
        <v>0</v>
      </c>
      <c r="K122" s="1">
        <f t="shared" si="15"/>
        <v>80</v>
      </c>
      <c r="L122" s="1"/>
      <c r="M122" s="3"/>
      <c r="N122" s="3"/>
      <c r="O122" s="3"/>
      <c r="P122" s="3"/>
      <c r="Q122" s="3"/>
      <c r="R122" s="1"/>
    </row>
    <row r="123" spans="2:18" x14ac:dyDescent="0.2">
      <c r="B123">
        <v>111</v>
      </c>
      <c r="C123" s="1">
        <v>-1.1981563850093486</v>
      </c>
      <c r="D123" s="1">
        <f t="shared" si="8"/>
        <v>42.788798668519291</v>
      </c>
      <c r="E123" s="18">
        <f t="shared" si="9"/>
        <v>37.211201331480709</v>
      </c>
      <c r="F123" s="1">
        <f t="shared" si="14"/>
        <v>80</v>
      </c>
      <c r="G123" s="9">
        <f t="shared" si="10"/>
        <v>0</v>
      </c>
      <c r="H123" s="9">
        <f t="shared" si="11"/>
        <v>80</v>
      </c>
      <c r="I123" s="9">
        <f t="shared" si="12"/>
        <v>0</v>
      </c>
      <c r="J123" s="9">
        <f t="shared" si="13"/>
        <v>0</v>
      </c>
      <c r="K123" s="1">
        <f t="shared" si="15"/>
        <v>80</v>
      </c>
      <c r="L123" s="1"/>
      <c r="M123" s="3"/>
      <c r="N123" s="3"/>
      <c r="O123" s="3"/>
      <c r="P123" s="3"/>
      <c r="Q123" s="3"/>
      <c r="R123" s="1"/>
    </row>
    <row r="124" spans="2:18" x14ac:dyDescent="0.2">
      <c r="B124">
        <v>112</v>
      </c>
      <c r="C124" s="1">
        <v>-1.1917307925527763</v>
      </c>
      <c r="D124" s="1">
        <f t="shared" si="8"/>
        <v>42.954083108094814</v>
      </c>
      <c r="E124" s="18">
        <f t="shared" si="9"/>
        <v>37.045916891905186</v>
      </c>
      <c r="F124" s="1">
        <f t="shared" si="14"/>
        <v>80</v>
      </c>
      <c r="G124" s="9">
        <f t="shared" si="10"/>
        <v>0</v>
      </c>
      <c r="H124" s="9">
        <f t="shared" si="11"/>
        <v>80</v>
      </c>
      <c r="I124" s="9">
        <f t="shared" si="12"/>
        <v>0</v>
      </c>
      <c r="J124" s="9">
        <f t="shared" si="13"/>
        <v>0</v>
      </c>
      <c r="K124" s="1">
        <f t="shared" si="15"/>
        <v>80</v>
      </c>
      <c r="L124" s="1"/>
      <c r="M124" s="3"/>
      <c r="N124" s="3"/>
      <c r="O124" s="3"/>
      <c r="P124" s="3"/>
      <c r="Q124" s="3"/>
      <c r="R124" s="1"/>
    </row>
    <row r="125" spans="2:18" x14ac:dyDescent="0.2">
      <c r="B125">
        <v>113</v>
      </c>
      <c r="C125" s="1">
        <v>-1.1907829908392196</v>
      </c>
      <c r="D125" s="1">
        <f t="shared" si="8"/>
        <v>42.978517227190764</v>
      </c>
      <c r="E125" s="18">
        <f t="shared" si="9"/>
        <v>37.021482772809236</v>
      </c>
      <c r="F125" s="1">
        <f t="shared" si="14"/>
        <v>80</v>
      </c>
      <c r="G125" s="9">
        <f t="shared" si="10"/>
        <v>0</v>
      </c>
      <c r="H125" s="9">
        <f t="shared" si="11"/>
        <v>80</v>
      </c>
      <c r="I125" s="9">
        <f t="shared" si="12"/>
        <v>0</v>
      </c>
      <c r="J125" s="9">
        <f t="shared" si="13"/>
        <v>0</v>
      </c>
      <c r="K125" s="1">
        <f t="shared" si="15"/>
        <v>80</v>
      </c>
      <c r="L125" s="1"/>
      <c r="M125" s="3"/>
      <c r="N125" s="3"/>
      <c r="O125" s="3"/>
      <c r="P125" s="3"/>
      <c r="Q125" s="3"/>
      <c r="R125" s="1"/>
    </row>
    <row r="126" spans="2:18" x14ac:dyDescent="0.2">
      <c r="B126">
        <v>114</v>
      </c>
      <c r="C126" s="1">
        <v>-1.18711653014636</v>
      </c>
      <c r="D126" s="1">
        <f t="shared" si="8"/>
        <v>43.073168726249733</v>
      </c>
      <c r="E126" s="18">
        <f t="shared" si="9"/>
        <v>36.926831273750267</v>
      </c>
      <c r="F126" s="1">
        <f t="shared" si="14"/>
        <v>80</v>
      </c>
      <c r="G126" s="9">
        <f t="shared" si="10"/>
        <v>0</v>
      </c>
      <c r="H126" s="9">
        <f t="shared" si="11"/>
        <v>80</v>
      </c>
      <c r="I126" s="9">
        <f t="shared" si="12"/>
        <v>0</v>
      </c>
      <c r="J126" s="9">
        <f t="shared" si="13"/>
        <v>0</v>
      </c>
      <c r="K126" s="1">
        <f t="shared" si="15"/>
        <v>80</v>
      </c>
      <c r="L126" s="1"/>
      <c r="M126" s="3"/>
      <c r="N126" s="3"/>
      <c r="O126" s="3"/>
      <c r="P126" s="3"/>
      <c r="Q126" s="3"/>
      <c r="R126" s="1"/>
    </row>
    <row r="127" spans="2:18" x14ac:dyDescent="0.2">
      <c r="B127">
        <v>115</v>
      </c>
      <c r="C127" s="1">
        <v>-1.1839927189495538</v>
      </c>
      <c r="D127" s="1">
        <f t="shared" si="8"/>
        <v>43.153975898548033</v>
      </c>
      <c r="E127" s="18">
        <f t="shared" si="9"/>
        <v>36.846024101451967</v>
      </c>
      <c r="F127" s="1">
        <f t="shared" si="14"/>
        <v>80</v>
      </c>
      <c r="G127" s="9">
        <f t="shared" si="10"/>
        <v>0</v>
      </c>
      <c r="H127" s="9">
        <f t="shared" si="11"/>
        <v>80</v>
      </c>
      <c r="I127" s="9">
        <f t="shared" si="12"/>
        <v>0</v>
      </c>
      <c r="J127" s="9">
        <f t="shared" si="13"/>
        <v>0</v>
      </c>
      <c r="K127" s="1">
        <f t="shared" si="15"/>
        <v>80</v>
      </c>
      <c r="L127" s="1"/>
      <c r="M127" s="3"/>
      <c r="N127" s="3"/>
      <c r="O127" s="3"/>
      <c r="P127" s="3"/>
      <c r="Q127" s="3"/>
      <c r="R127" s="1"/>
    </row>
    <row r="128" spans="2:18" x14ac:dyDescent="0.2">
      <c r="B128">
        <v>116</v>
      </c>
      <c r="C128" s="1">
        <v>-1.1723394818183841</v>
      </c>
      <c r="D128" s="1">
        <f t="shared" si="8"/>
        <v>43.456763309641559</v>
      </c>
      <c r="E128" s="18">
        <f t="shared" si="9"/>
        <v>36.543236690358441</v>
      </c>
      <c r="F128" s="1">
        <f t="shared" si="14"/>
        <v>80</v>
      </c>
      <c r="G128" s="9">
        <f t="shared" si="10"/>
        <v>0</v>
      </c>
      <c r="H128" s="9">
        <f t="shared" si="11"/>
        <v>80</v>
      </c>
      <c r="I128" s="9">
        <f t="shared" si="12"/>
        <v>0</v>
      </c>
      <c r="J128" s="9">
        <f t="shared" si="13"/>
        <v>0</v>
      </c>
      <c r="K128" s="1">
        <f t="shared" si="15"/>
        <v>80</v>
      </c>
      <c r="L128" s="1"/>
      <c r="M128" s="3"/>
      <c r="N128" s="3"/>
      <c r="O128" s="3"/>
      <c r="P128" s="3"/>
      <c r="Q128" s="3"/>
      <c r="R128" s="1"/>
    </row>
    <row r="129" spans="2:18" x14ac:dyDescent="0.2">
      <c r="B129">
        <v>117</v>
      </c>
      <c r="C129" s="1">
        <v>-1.168886871969355</v>
      </c>
      <c r="D129" s="1">
        <f t="shared" si="8"/>
        <v>43.546880168326418</v>
      </c>
      <c r="E129" s="18">
        <f t="shared" si="9"/>
        <v>36.453119831673582</v>
      </c>
      <c r="F129" s="1">
        <f t="shared" si="14"/>
        <v>80</v>
      </c>
      <c r="G129" s="9">
        <f t="shared" si="10"/>
        <v>0</v>
      </c>
      <c r="H129" s="9">
        <f t="shared" si="11"/>
        <v>80</v>
      </c>
      <c r="I129" s="9">
        <f t="shared" si="12"/>
        <v>0</v>
      </c>
      <c r="J129" s="9">
        <f t="shared" si="13"/>
        <v>0</v>
      </c>
      <c r="K129" s="1">
        <f t="shared" si="15"/>
        <v>80</v>
      </c>
      <c r="L129" s="1"/>
      <c r="M129" s="3"/>
      <c r="N129" s="3"/>
      <c r="O129" s="3"/>
      <c r="P129" s="3"/>
      <c r="Q129" s="3"/>
      <c r="R129" s="1"/>
    </row>
    <row r="130" spans="2:18" x14ac:dyDescent="0.2">
      <c r="B130">
        <v>118</v>
      </c>
      <c r="C130" s="1">
        <v>-1.1643288640349563</v>
      </c>
      <c r="D130" s="1">
        <f t="shared" si="8"/>
        <v>43.666135379053394</v>
      </c>
      <c r="E130" s="18">
        <f t="shared" si="9"/>
        <v>36.333864620946606</v>
      </c>
      <c r="F130" s="1">
        <f t="shared" si="14"/>
        <v>80</v>
      </c>
      <c r="G130" s="9">
        <f t="shared" si="10"/>
        <v>0</v>
      </c>
      <c r="H130" s="9">
        <f t="shared" si="11"/>
        <v>80</v>
      </c>
      <c r="I130" s="9">
        <f t="shared" si="12"/>
        <v>0</v>
      </c>
      <c r="J130" s="9">
        <f t="shared" si="13"/>
        <v>0</v>
      </c>
      <c r="K130" s="1">
        <f t="shared" si="15"/>
        <v>80</v>
      </c>
      <c r="L130" s="1"/>
      <c r="M130" s="3"/>
      <c r="N130" s="3"/>
      <c r="O130" s="3"/>
      <c r="P130" s="3"/>
      <c r="Q130" s="3"/>
      <c r="R130" s="1"/>
    </row>
    <row r="131" spans="2:18" x14ac:dyDescent="0.2">
      <c r="B131">
        <v>119</v>
      </c>
      <c r="C131" s="1">
        <v>-1.1617407803153128</v>
      </c>
      <c r="D131" s="1">
        <f t="shared" si="8"/>
        <v>43.733995021792857</v>
      </c>
      <c r="E131" s="18">
        <f t="shared" si="9"/>
        <v>36.266004978207143</v>
      </c>
      <c r="F131" s="1">
        <f t="shared" si="14"/>
        <v>80</v>
      </c>
      <c r="G131" s="9">
        <f t="shared" si="10"/>
        <v>0</v>
      </c>
      <c r="H131" s="9">
        <f t="shared" si="11"/>
        <v>80</v>
      </c>
      <c r="I131" s="9">
        <f t="shared" si="12"/>
        <v>0</v>
      </c>
      <c r="J131" s="9">
        <f t="shared" si="13"/>
        <v>0</v>
      </c>
      <c r="K131" s="1">
        <f t="shared" si="15"/>
        <v>80</v>
      </c>
      <c r="L131" s="1"/>
      <c r="M131" s="3"/>
      <c r="N131" s="3"/>
      <c r="O131" s="3"/>
      <c r="P131" s="3"/>
      <c r="Q131" s="3"/>
      <c r="R131" s="1"/>
    </row>
    <row r="132" spans="2:18" x14ac:dyDescent="0.2">
      <c r="B132">
        <v>120</v>
      </c>
      <c r="C132" s="1">
        <v>-1.1599104919270034</v>
      </c>
      <c r="D132" s="1">
        <f t="shared" si="8"/>
        <v>43.78204889665593</v>
      </c>
      <c r="E132" s="18">
        <f t="shared" si="9"/>
        <v>36.21795110334407</v>
      </c>
      <c r="F132" s="1">
        <f t="shared" si="14"/>
        <v>80</v>
      </c>
      <c r="G132" s="9">
        <f t="shared" si="10"/>
        <v>0</v>
      </c>
      <c r="H132" s="9">
        <f t="shared" si="11"/>
        <v>80</v>
      </c>
      <c r="I132" s="9">
        <f t="shared" si="12"/>
        <v>0</v>
      </c>
      <c r="J132" s="9">
        <f t="shared" si="13"/>
        <v>0</v>
      </c>
      <c r="K132" s="1">
        <f t="shared" si="15"/>
        <v>80</v>
      </c>
      <c r="L132" s="1"/>
      <c r="M132" s="3"/>
      <c r="N132" s="3"/>
      <c r="O132" s="3"/>
      <c r="P132" s="3"/>
      <c r="Q132" s="3"/>
      <c r="R132" s="1"/>
    </row>
    <row r="133" spans="2:18" x14ac:dyDescent="0.2">
      <c r="B133">
        <v>121</v>
      </c>
      <c r="C133" s="1">
        <v>-1.1592525409061203</v>
      </c>
      <c r="D133" s="1">
        <f t="shared" si="8"/>
        <v>43.79933617494688</v>
      </c>
      <c r="E133" s="18">
        <f t="shared" si="9"/>
        <v>36.20066382505312</v>
      </c>
      <c r="F133" s="1">
        <f t="shared" si="14"/>
        <v>80</v>
      </c>
      <c r="G133" s="9">
        <f t="shared" si="10"/>
        <v>0</v>
      </c>
      <c r="H133" s="9">
        <f t="shared" si="11"/>
        <v>80</v>
      </c>
      <c r="I133" s="9">
        <f t="shared" si="12"/>
        <v>0</v>
      </c>
      <c r="J133" s="9">
        <f t="shared" si="13"/>
        <v>0</v>
      </c>
      <c r="K133" s="1">
        <f t="shared" si="15"/>
        <v>80</v>
      </c>
      <c r="L133" s="1"/>
      <c r="M133" s="3"/>
      <c r="N133" s="3"/>
      <c r="O133" s="3"/>
      <c r="P133" s="3"/>
      <c r="Q133" s="3"/>
      <c r="R133" s="1"/>
    </row>
    <row r="134" spans="2:18" x14ac:dyDescent="0.2">
      <c r="B134">
        <v>122</v>
      </c>
      <c r="C134" s="1">
        <v>-1.1534266190806801</v>
      </c>
      <c r="D134" s="1">
        <f t="shared" si="8"/>
        <v>43.952706981814657</v>
      </c>
      <c r="E134" s="18">
        <f t="shared" si="9"/>
        <v>36.047293018185343</v>
      </c>
      <c r="F134" s="1">
        <f t="shared" si="14"/>
        <v>80</v>
      </c>
      <c r="G134" s="9">
        <f t="shared" si="10"/>
        <v>0</v>
      </c>
      <c r="H134" s="9">
        <f t="shared" si="11"/>
        <v>80</v>
      </c>
      <c r="I134" s="9">
        <f t="shared" si="12"/>
        <v>0</v>
      </c>
      <c r="J134" s="9">
        <f t="shared" si="13"/>
        <v>0</v>
      </c>
      <c r="K134" s="1">
        <f t="shared" si="15"/>
        <v>80</v>
      </c>
      <c r="L134" s="1"/>
      <c r="M134" s="3"/>
      <c r="N134" s="3"/>
      <c r="O134" s="3"/>
      <c r="P134" s="3"/>
      <c r="Q134" s="3"/>
      <c r="R134" s="1"/>
    </row>
    <row r="135" spans="2:18" x14ac:dyDescent="0.2">
      <c r="B135">
        <v>123</v>
      </c>
      <c r="C135" s="1">
        <v>-1.1500735351878542</v>
      </c>
      <c r="D135" s="1">
        <f t="shared" si="8"/>
        <v>44.041222260001042</v>
      </c>
      <c r="E135" s="18">
        <f t="shared" si="9"/>
        <v>35.958777739998958</v>
      </c>
      <c r="F135" s="1">
        <f t="shared" si="14"/>
        <v>80</v>
      </c>
      <c r="G135" s="9">
        <f t="shared" si="10"/>
        <v>0</v>
      </c>
      <c r="H135" s="9">
        <f t="shared" si="11"/>
        <v>80</v>
      </c>
      <c r="I135" s="9">
        <f t="shared" si="12"/>
        <v>0</v>
      </c>
      <c r="J135" s="9">
        <f t="shared" si="13"/>
        <v>0</v>
      </c>
      <c r="K135" s="1">
        <f t="shared" si="15"/>
        <v>80</v>
      </c>
      <c r="L135" s="1"/>
      <c r="M135" s="3"/>
      <c r="N135" s="3"/>
      <c r="O135" s="3"/>
      <c r="P135" s="3"/>
      <c r="Q135" s="3"/>
      <c r="R135" s="1"/>
    </row>
    <row r="136" spans="2:18" x14ac:dyDescent="0.2">
      <c r="B136">
        <v>124</v>
      </c>
      <c r="C136" s="1">
        <v>-1.1462284521001695</v>
      </c>
      <c r="D136" s="1">
        <f t="shared" si="8"/>
        <v>44.142944849749597</v>
      </c>
      <c r="E136" s="18">
        <f t="shared" si="9"/>
        <v>35.857055150250403</v>
      </c>
      <c r="F136" s="1">
        <f t="shared" si="14"/>
        <v>80</v>
      </c>
      <c r="G136" s="9">
        <f t="shared" si="10"/>
        <v>0</v>
      </c>
      <c r="H136" s="9">
        <f t="shared" si="11"/>
        <v>80</v>
      </c>
      <c r="I136" s="9">
        <f t="shared" si="12"/>
        <v>0</v>
      </c>
      <c r="J136" s="9">
        <f t="shared" si="13"/>
        <v>0</v>
      </c>
      <c r="K136" s="1">
        <f t="shared" si="15"/>
        <v>80</v>
      </c>
      <c r="L136" s="1"/>
      <c r="M136" s="3"/>
      <c r="N136" s="3"/>
      <c r="O136" s="3"/>
      <c r="P136" s="3"/>
      <c r="Q136" s="3"/>
      <c r="R136" s="1"/>
    </row>
    <row r="137" spans="2:18" x14ac:dyDescent="0.2">
      <c r="B137">
        <v>125</v>
      </c>
      <c r="C137" s="1">
        <v>-1.1427953163820865</v>
      </c>
      <c r="D137" s="1">
        <f t="shared" si="8"/>
        <v>44.23396779820424</v>
      </c>
      <c r="E137" s="18">
        <f t="shared" si="9"/>
        <v>35.76603220179576</v>
      </c>
      <c r="F137" s="1">
        <f t="shared" si="14"/>
        <v>80</v>
      </c>
      <c r="G137" s="9">
        <f t="shared" si="10"/>
        <v>0</v>
      </c>
      <c r="H137" s="9">
        <f t="shared" si="11"/>
        <v>80</v>
      </c>
      <c r="I137" s="9">
        <f t="shared" si="12"/>
        <v>0</v>
      </c>
      <c r="J137" s="9">
        <f t="shared" si="13"/>
        <v>0</v>
      </c>
      <c r="K137" s="1">
        <f t="shared" si="15"/>
        <v>80</v>
      </c>
      <c r="L137" s="1"/>
      <c r="M137" s="3"/>
      <c r="N137" s="3"/>
      <c r="O137" s="3"/>
      <c r="P137" s="3"/>
      <c r="Q137" s="3"/>
      <c r="R137" s="1"/>
    </row>
    <row r="138" spans="2:18" x14ac:dyDescent="0.2">
      <c r="B138">
        <v>126</v>
      </c>
      <c r="C138" s="1">
        <v>-1.1419250864270107</v>
      </c>
      <c r="D138" s="1">
        <f t="shared" si="8"/>
        <v>44.257070063250211</v>
      </c>
      <c r="E138" s="18">
        <f t="shared" si="9"/>
        <v>35.742929936749789</v>
      </c>
      <c r="F138" s="1">
        <f t="shared" si="14"/>
        <v>80</v>
      </c>
      <c r="G138" s="9">
        <f t="shared" si="10"/>
        <v>0</v>
      </c>
      <c r="H138" s="9">
        <f t="shared" si="11"/>
        <v>80</v>
      </c>
      <c r="I138" s="9">
        <f t="shared" si="12"/>
        <v>0</v>
      </c>
      <c r="J138" s="9">
        <f t="shared" si="13"/>
        <v>0</v>
      </c>
      <c r="K138" s="1">
        <f t="shared" si="15"/>
        <v>80</v>
      </c>
      <c r="L138" s="1"/>
      <c r="M138" s="3"/>
      <c r="N138" s="3"/>
      <c r="O138" s="3"/>
      <c r="P138" s="3"/>
      <c r="Q138" s="3"/>
      <c r="R138" s="1"/>
    </row>
    <row r="139" spans="2:18" x14ac:dyDescent="0.2">
      <c r="B139">
        <v>127</v>
      </c>
      <c r="C139" s="1">
        <v>-1.1415246540709176</v>
      </c>
      <c r="D139" s="1">
        <f t="shared" si="8"/>
        <v>44.267704518416558</v>
      </c>
      <c r="E139" s="18">
        <f t="shared" si="9"/>
        <v>35.732295481583442</v>
      </c>
      <c r="F139" s="1">
        <f t="shared" si="14"/>
        <v>80</v>
      </c>
      <c r="G139" s="9">
        <f t="shared" si="10"/>
        <v>0</v>
      </c>
      <c r="H139" s="9">
        <f t="shared" si="11"/>
        <v>80</v>
      </c>
      <c r="I139" s="9">
        <f t="shared" si="12"/>
        <v>0</v>
      </c>
      <c r="J139" s="9">
        <f t="shared" si="13"/>
        <v>0</v>
      </c>
      <c r="K139" s="1">
        <f t="shared" si="15"/>
        <v>80</v>
      </c>
      <c r="L139" s="1"/>
      <c r="M139" s="3"/>
      <c r="N139" s="3"/>
      <c r="O139" s="3"/>
      <c r="P139" s="3"/>
      <c r="Q139" s="3"/>
      <c r="R139" s="1"/>
    </row>
    <row r="140" spans="2:18" x14ac:dyDescent="0.2">
      <c r="B140">
        <v>128</v>
      </c>
      <c r="C140" s="1">
        <v>-1.1388175378164722</v>
      </c>
      <c r="D140" s="1">
        <f t="shared" si="8"/>
        <v>44.339665638199982</v>
      </c>
      <c r="E140" s="18">
        <f t="shared" si="9"/>
        <v>35.660334361800018</v>
      </c>
      <c r="F140" s="1">
        <f t="shared" si="14"/>
        <v>80</v>
      </c>
      <c r="G140" s="9">
        <f t="shared" si="10"/>
        <v>0</v>
      </c>
      <c r="H140" s="9">
        <f t="shared" si="11"/>
        <v>80</v>
      </c>
      <c r="I140" s="9">
        <f t="shared" si="12"/>
        <v>0</v>
      </c>
      <c r="J140" s="9">
        <f t="shared" si="13"/>
        <v>0</v>
      </c>
      <c r="K140" s="1">
        <f t="shared" si="15"/>
        <v>80</v>
      </c>
      <c r="L140" s="1"/>
      <c r="M140" s="3"/>
      <c r="N140" s="3"/>
      <c r="O140" s="3"/>
      <c r="P140" s="3"/>
      <c r="Q140" s="3"/>
      <c r="R140" s="1"/>
    </row>
    <row r="141" spans="2:18" x14ac:dyDescent="0.2">
      <c r="B141">
        <v>129</v>
      </c>
      <c r="C141" s="1">
        <v>-1.1381998516311436</v>
      </c>
      <c r="D141" s="1">
        <f t="shared" ref="D141:D204" si="16">a0*EXP((RR-0.5*sigma^2)*T+sigma*SQRT(T)*C141)</f>
        <v>44.356101483026237</v>
      </c>
      <c r="E141" s="18">
        <f t="shared" ref="E141:E204" si="17">IF(AND(D141&gt;=0, D141&lt;F), F-D141, IF(D141&gt;=F, $E$7, 0))</f>
        <v>35.643898516973763</v>
      </c>
      <c r="F141" s="1">
        <f t="shared" si="14"/>
        <v>80</v>
      </c>
      <c r="G141" s="9">
        <f t="shared" ref="G141:G204" si="18">IF(F141&lt;F,MIN(disc,F141),0)</f>
        <v>0</v>
      </c>
      <c r="H141" s="9">
        <f t="shared" ref="H141:H204" si="19">IF(F141&gt;=F,F,F141-G141)</f>
        <v>80</v>
      </c>
      <c r="I141" s="9">
        <f t="shared" ref="I141:I204" si="20">(1-tax)*(F141-G141-H141)</f>
        <v>0</v>
      </c>
      <c r="J141" s="9">
        <f t="shared" ref="J141:J204" si="21">tax*(F141-G141-H141)</f>
        <v>0</v>
      </c>
      <c r="K141" s="1">
        <f t="shared" si="15"/>
        <v>80</v>
      </c>
      <c r="L141" s="1"/>
      <c r="M141" s="3"/>
      <c r="N141" s="3"/>
      <c r="O141" s="3"/>
      <c r="P141" s="3"/>
      <c r="Q141" s="3"/>
      <c r="R141" s="1"/>
    </row>
    <row r="142" spans="2:18" x14ac:dyDescent="0.2">
      <c r="B142">
        <v>130</v>
      </c>
      <c r="C142" s="1">
        <v>-1.1368171968516396</v>
      </c>
      <c r="D142" s="1">
        <f t="shared" si="16"/>
        <v>44.392914256151357</v>
      </c>
      <c r="E142" s="18">
        <f t="shared" si="17"/>
        <v>35.607085743848643</v>
      </c>
      <c r="F142" s="1">
        <f t="shared" ref="F142:F205" si="22">D142+E142</f>
        <v>80</v>
      </c>
      <c r="G142" s="9">
        <f t="shared" si="18"/>
        <v>0</v>
      </c>
      <c r="H142" s="9">
        <f t="shared" si="19"/>
        <v>80</v>
      </c>
      <c r="I142" s="9">
        <f t="shared" si="20"/>
        <v>0</v>
      </c>
      <c r="J142" s="9">
        <f t="shared" si="21"/>
        <v>0</v>
      </c>
      <c r="K142" s="1">
        <f t="shared" ref="K142:K205" si="23">SUM(G142:J142)</f>
        <v>80</v>
      </c>
      <c r="L142" s="1"/>
      <c r="M142" s="3"/>
      <c r="N142" s="3"/>
      <c r="O142" s="3"/>
      <c r="P142" s="3"/>
      <c r="Q142" s="3"/>
      <c r="R142" s="1"/>
    </row>
    <row r="143" spans="2:18" x14ac:dyDescent="0.2">
      <c r="B143">
        <v>131</v>
      </c>
      <c r="C143" s="1">
        <v>-1.131881207454162</v>
      </c>
      <c r="D143" s="1">
        <f t="shared" si="16"/>
        <v>44.524582906886259</v>
      </c>
      <c r="E143" s="18">
        <f t="shared" si="17"/>
        <v>35.475417093113741</v>
      </c>
      <c r="F143" s="1">
        <f t="shared" si="22"/>
        <v>80</v>
      </c>
      <c r="G143" s="9">
        <f t="shared" si="18"/>
        <v>0</v>
      </c>
      <c r="H143" s="9">
        <f t="shared" si="19"/>
        <v>80</v>
      </c>
      <c r="I143" s="9">
        <f t="shared" si="20"/>
        <v>0</v>
      </c>
      <c r="J143" s="9">
        <f t="shared" si="21"/>
        <v>0</v>
      </c>
      <c r="K143" s="1">
        <f t="shared" si="23"/>
        <v>80</v>
      </c>
      <c r="L143" s="1"/>
      <c r="M143" s="3"/>
      <c r="N143" s="3"/>
      <c r="O143" s="3"/>
      <c r="P143" s="3"/>
      <c r="Q143" s="3"/>
      <c r="R143" s="1"/>
    </row>
    <row r="144" spans="2:18" x14ac:dyDescent="0.2">
      <c r="B144">
        <v>132</v>
      </c>
      <c r="C144" s="1">
        <v>-1.1209625392518014</v>
      </c>
      <c r="D144" s="1">
        <f t="shared" si="16"/>
        <v>44.817229943562623</v>
      </c>
      <c r="E144" s="18">
        <f t="shared" si="17"/>
        <v>35.182770056437377</v>
      </c>
      <c r="F144" s="1">
        <f t="shared" si="22"/>
        <v>80</v>
      </c>
      <c r="G144" s="9">
        <f t="shared" si="18"/>
        <v>0</v>
      </c>
      <c r="H144" s="9">
        <f t="shared" si="19"/>
        <v>80</v>
      </c>
      <c r="I144" s="9">
        <f t="shared" si="20"/>
        <v>0</v>
      </c>
      <c r="J144" s="9">
        <f t="shared" si="21"/>
        <v>0</v>
      </c>
      <c r="K144" s="1">
        <f t="shared" si="23"/>
        <v>80</v>
      </c>
      <c r="L144" s="1"/>
      <c r="M144" s="3"/>
      <c r="N144" s="3"/>
      <c r="O144" s="3"/>
      <c r="P144" s="3"/>
      <c r="Q144" s="3"/>
      <c r="R144" s="1"/>
    </row>
    <row r="145" spans="2:18" x14ac:dyDescent="0.2">
      <c r="B145">
        <v>133</v>
      </c>
      <c r="C145" s="1">
        <v>-1.1202723728790351</v>
      </c>
      <c r="D145" s="1">
        <f t="shared" si="16"/>
        <v>44.835792593708987</v>
      </c>
      <c r="E145" s="18">
        <f t="shared" si="17"/>
        <v>35.164207406291013</v>
      </c>
      <c r="F145" s="1">
        <f t="shared" si="22"/>
        <v>80</v>
      </c>
      <c r="G145" s="9">
        <f t="shared" si="18"/>
        <v>0</v>
      </c>
      <c r="H145" s="9">
        <f t="shared" si="19"/>
        <v>80</v>
      </c>
      <c r="I145" s="9">
        <f t="shared" si="20"/>
        <v>0</v>
      </c>
      <c r="J145" s="9">
        <f t="shared" si="21"/>
        <v>0</v>
      </c>
      <c r="K145" s="1">
        <f t="shared" si="23"/>
        <v>80</v>
      </c>
      <c r="L145" s="1"/>
      <c r="M145" s="3"/>
      <c r="N145" s="3"/>
      <c r="O145" s="3"/>
      <c r="P145" s="3"/>
      <c r="Q145" s="3"/>
      <c r="R145" s="1"/>
    </row>
    <row r="146" spans="2:18" x14ac:dyDescent="0.2">
      <c r="B146">
        <v>134</v>
      </c>
      <c r="C146" s="1">
        <v>-1.1145694363770859</v>
      </c>
      <c r="D146" s="1">
        <f t="shared" si="16"/>
        <v>44.989472779170242</v>
      </c>
      <c r="E146" s="18">
        <f t="shared" si="17"/>
        <v>35.010527220829758</v>
      </c>
      <c r="F146" s="1">
        <f t="shared" si="22"/>
        <v>80</v>
      </c>
      <c r="G146" s="9">
        <f t="shared" si="18"/>
        <v>0</v>
      </c>
      <c r="H146" s="9">
        <f t="shared" si="19"/>
        <v>80</v>
      </c>
      <c r="I146" s="9">
        <f t="shared" si="20"/>
        <v>0</v>
      </c>
      <c r="J146" s="9">
        <f t="shared" si="21"/>
        <v>0</v>
      </c>
      <c r="K146" s="1">
        <f t="shared" si="23"/>
        <v>80</v>
      </c>
      <c r="L146" s="1"/>
      <c r="M146" s="3"/>
      <c r="N146" s="3"/>
      <c r="O146" s="3"/>
      <c r="P146" s="3"/>
      <c r="Q146" s="3"/>
      <c r="R146" s="1"/>
    </row>
    <row r="147" spans="2:18" x14ac:dyDescent="0.2">
      <c r="B147">
        <v>135</v>
      </c>
      <c r="C147" s="1">
        <v>-1.1125877607934285</v>
      </c>
      <c r="D147" s="1">
        <f t="shared" si="16"/>
        <v>45.042997317182341</v>
      </c>
      <c r="E147" s="18">
        <f t="shared" si="17"/>
        <v>34.957002682817659</v>
      </c>
      <c r="F147" s="1">
        <f t="shared" si="22"/>
        <v>80</v>
      </c>
      <c r="G147" s="9">
        <f t="shared" si="18"/>
        <v>0</v>
      </c>
      <c r="H147" s="9">
        <f t="shared" si="19"/>
        <v>80</v>
      </c>
      <c r="I147" s="9">
        <f t="shared" si="20"/>
        <v>0</v>
      </c>
      <c r="J147" s="9">
        <f t="shared" si="21"/>
        <v>0</v>
      </c>
      <c r="K147" s="1">
        <f t="shared" si="23"/>
        <v>80</v>
      </c>
      <c r="L147" s="1"/>
      <c r="M147" s="3"/>
      <c r="N147" s="3"/>
      <c r="O147" s="3"/>
      <c r="P147" s="3"/>
      <c r="Q147" s="3"/>
      <c r="R147" s="1"/>
    </row>
    <row r="148" spans="2:18" x14ac:dyDescent="0.2">
      <c r="B148">
        <v>136</v>
      </c>
      <c r="C148" s="1">
        <v>-1.1099360319572067</v>
      </c>
      <c r="D148" s="1">
        <f t="shared" si="16"/>
        <v>45.114719447258224</v>
      </c>
      <c r="E148" s="18">
        <f t="shared" si="17"/>
        <v>34.885280552741776</v>
      </c>
      <c r="F148" s="1">
        <f t="shared" si="22"/>
        <v>80</v>
      </c>
      <c r="G148" s="9">
        <f t="shared" si="18"/>
        <v>0</v>
      </c>
      <c r="H148" s="9">
        <f t="shared" si="19"/>
        <v>80</v>
      </c>
      <c r="I148" s="9">
        <f t="shared" si="20"/>
        <v>0</v>
      </c>
      <c r="J148" s="9">
        <f t="shared" si="21"/>
        <v>0</v>
      </c>
      <c r="K148" s="1">
        <f t="shared" si="23"/>
        <v>80</v>
      </c>
      <c r="L148" s="1"/>
      <c r="M148" s="3"/>
      <c r="N148" s="3"/>
      <c r="O148" s="3"/>
      <c r="P148" s="3"/>
      <c r="Q148" s="3"/>
      <c r="R148" s="1"/>
    </row>
    <row r="149" spans="2:18" x14ac:dyDescent="0.2">
      <c r="B149">
        <v>137</v>
      </c>
      <c r="C149" s="1">
        <v>-1.1089366032900501</v>
      </c>
      <c r="D149" s="1">
        <f t="shared" si="16"/>
        <v>45.141780926608568</v>
      </c>
      <c r="E149" s="18">
        <f t="shared" si="17"/>
        <v>34.858219073391432</v>
      </c>
      <c r="F149" s="1">
        <f t="shared" si="22"/>
        <v>80</v>
      </c>
      <c r="G149" s="9">
        <f t="shared" si="18"/>
        <v>0</v>
      </c>
      <c r="H149" s="9">
        <f t="shared" si="19"/>
        <v>80</v>
      </c>
      <c r="I149" s="9">
        <f t="shared" si="20"/>
        <v>0</v>
      </c>
      <c r="J149" s="9">
        <f t="shared" si="21"/>
        <v>0</v>
      </c>
      <c r="K149" s="1">
        <f t="shared" si="23"/>
        <v>80</v>
      </c>
      <c r="L149" s="1"/>
      <c r="M149" s="3"/>
      <c r="N149" s="3"/>
      <c r="O149" s="3"/>
      <c r="P149" s="3"/>
      <c r="Q149" s="3"/>
      <c r="R149" s="1"/>
    </row>
    <row r="150" spans="2:18" x14ac:dyDescent="0.2">
      <c r="B150">
        <v>138</v>
      </c>
      <c r="C150" s="1">
        <v>-1.1071740894815671</v>
      </c>
      <c r="D150" s="1">
        <f t="shared" si="16"/>
        <v>45.189543984405617</v>
      </c>
      <c r="E150" s="18">
        <f t="shared" si="17"/>
        <v>34.810456015594383</v>
      </c>
      <c r="F150" s="1">
        <f t="shared" si="22"/>
        <v>80</v>
      </c>
      <c r="G150" s="9">
        <f t="shared" si="18"/>
        <v>0</v>
      </c>
      <c r="H150" s="9">
        <f t="shared" si="19"/>
        <v>80</v>
      </c>
      <c r="I150" s="9">
        <f t="shared" si="20"/>
        <v>0</v>
      </c>
      <c r="J150" s="9">
        <f t="shared" si="21"/>
        <v>0</v>
      </c>
      <c r="K150" s="1">
        <f t="shared" si="23"/>
        <v>80</v>
      </c>
      <c r="L150" s="1"/>
      <c r="M150" s="3"/>
      <c r="N150" s="3"/>
      <c r="O150" s="3"/>
      <c r="P150" s="3"/>
      <c r="Q150" s="3"/>
      <c r="R150" s="1"/>
    </row>
    <row r="151" spans="2:18" x14ac:dyDescent="0.2">
      <c r="B151">
        <v>139</v>
      </c>
      <c r="C151" s="1">
        <v>-1.1031259497132717</v>
      </c>
      <c r="D151" s="1">
        <f t="shared" si="16"/>
        <v>45.299437543794468</v>
      </c>
      <c r="E151" s="18">
        <f t="shared" si="17"/>
        <v>34.700562456205532</v>
      </c>
      <c r="F151" s="1">
        <f t="shared" si="22"/>
        <v>80</v>
      </c>
      <c r="G151" s="9">
        <f t="shared" si="18"/>
        <v>0</v>
      </c>
      <c r="H151" s="9">
        <f t="shared" si="19"/>
        <v>80</v>
      </c>
      <c r="I151" s="9">
        <f t="shared" si="20"/>
        <v>0</v>
      </c>
      <c r="J151" s="9">
        <f t="shared" si="21"/>
        <v>0</v>
      </c>
      <c r="K151" s="1">
        <f t="shared" si="23"/>
        <v>80</v>
      </c>
      <c r="L151" s="1"/>
      <c r="M151" s="3"/>
      <c r="N151" s="3"/>
      <c r="O151" s="3"/>
      <c r="P151" s="3"/>
      <c r="Q151" s="3"/>
      <c r="R151" s="1"/>
    </row>
    <row r="152" spans="2:18" x14ac:dyDescent="0.2">
      <c r="B152">
        <v>140</v>
      </c>
      <c r="C152" s="1">
        <v>-1.1026739356628243</v>
      </c>
      <c r="D152" s="1">
        <f t="shared" si="16"/>
        <v>45.311724799271083</v>
      </c>
      <c r="E152" s="18">
        <f t="shared" si="17"/>
        <v>34.688275200728917</v>
      </c>
      <c r="F152" s="1">
        <f t="shared" si="22"/>
        <v>80</v>
      </c>
      <c r="G152" s="9">
        <f t="shared" si="18"/>
        <v>0</v>
      </c>
      <c r="H152" s="9">
        <f t="shared" si="19"/>
        <v>80</v>
      </c>
      <c r="I152" s="9">
        <f t="shared" si="20"/>
        <v>0</v>
      </c>
      <c r="J152" s="9">
        <f t="shared" si="21"/>
        <v>0</v>
      </c>
      <c r="K152" s="1">
        <f t="shared" si="23"/>
        <v>80</v>
      </c>
      <c r="L152" s="1"/>
      <c r="M152" s="3"/>
      <c r="N152" s="3"/>
      <c r="O152" s="3"/>
      <c r="P152" s="3"/>
      <c r="Q152" s="3"/>
      <c r="R152" s="1"/>
    </row>
    <row r="153" spans="2:18" x14ac:dyDescent="0.2">
      <c r="B153">
        <v>141</v>
      </c>
      <c r="C153" s="1">
        <v>-1.1006589168843754</v>
      </c>
      <c r="D153" s="1">
        <f t="shared" si="16"/>
        <v>45.366540314694603</v>
      </c>
      <c r="E153" s="18">
        <f t="shared" si="17"/>
        <v>34.633459685305397</v>
      </c>
      <c r="F153" s="1">
        <f t="shared" si="22"/>
        <v>80</v>
      </c>
      <c r="G153" s="9">
        <f t="shared" si="18"/>
        <v>0</v>
      </c>
      <c r="H153" s="9">
        <f t="shared" si="19"/>
        <v>80</v>
      </c>
      <c r="I153" s="9">
        <f t="shared" si="20"/>
        <v>0</v>
      </c>
      <c r="J153" s="9">
        <f t="shared" si="21"/>
        <v>0</v>
      </c>
      <c r="K153" s="1">
        <f t="shared" si="23"/>
        <v>80</v>
      </c>
      <c r="L153" s="1"/>
      <c r="M153" s="3"/>
      <c r="N153" s="3"/>
      <c r="O153" s="3"/>
      <c r="P153" s="3"/>
      <c r="Q153" s="3"/>
      <c r="R153" s="1"/>
    </row>
    <row r="154" spans="2:18" x14ac:dyDescent="0.2">
      <c r="B154">
        <v>142</v>
      </c>
      <c r="C154" s="1">
        <v>-1.0993859615202675</v>
      </c>
      <c r="D154" s="1">
        <f t="shared" si="16"/>
        <v>45.4012032988458</v>
      </c>
      <c r="E154" s="18">
        <f t="shared" si="17"/>
        <v>34.5987967011542</v>
      </c>
      <c r="F154" s="1">
        <f t="shared" si="22"/>
        <v>80</v>
      </c>
      <c r="G154" s="9">
        <f t="shared" si="18"/>
        <v>0</v>
      </c>
      <c r="H154" s="9">
        <f t="shared" si="19"/>
        <v>80</v>
      </c>
      <c r="I154" s="9">
        <f t="shared" si="20"/>
        <v>0</v>
      </c>
      <c r="J154" s="9">
        <f t="shared" si="21"/>
        <v>0</v>
      </c>
      <c r="K154" s="1">
        <f t="shared" si="23"/>
        <v>80</v>
      </c>
      <c r="L154" s="1"/>
      <c r="M154" s="3"/>
      <c r="N154" s="3"/>
      <c r="O154" s="3"/>
      <c r="P154" s="3"/>
      <c r="Q154" s="3"/>
      <c r="R154" s="1"/>
    </row>
    <row r="155" spans="2:18" x14ac:dyDescent="0.2">
      <c r="B155">
        <v>143</v>
      </c>
      <c r="C155" s="1">
        <v>-1.0927728910503893</v>
      </c>
      <c r="D155" s="1">
        <f t="shared" si="16"/>
        <v>45.58170597921287</v>
      </c>
      <c r="E155" s="18">
        <f t="shared" si="17"/>
        <v>34.41829402078713</v>
      </c>
      <c r="F155" s="1">
        <f t="shared" si="22"/>
        <v>80</v>
      </c>
      <c r="G155" s="9">
        <f t="shared" si="18"/>
        <v>0</v>
      </c>
      <c r="H155" s="9">
        <f t="shared" si="19"/>
        <v>80</v>
      </c>
      <c r="I155" s="9">
        <f t="shared" si="20"/>
        <v>0</v>
      </c>
      <c r="J155" s="9">
        <f t="shared" si="21"/>
        <v>0</v>
      </c>
      <c r="K155" s="1">
        <f t="shared" si="23"/>
        <v>80</v>
      </c>
      <c r="L155" s="1"/>
      <c r="M155" s="3"/>
      <c r="N155" s="3"/>
      <c r="O155" s="3"/>
      <c r="P155" s="3"/>
      <c r="Q155" s="3"/>
      <c r="R155" s="1"/>
    </row>
    <row r="156" spans="2:18" x14ac:dyDescent="0.2">
      <c r="B156">
        <v>144</v>
      </c>
      <c r="C156" s="1">
        <v>-1.0903891033773456</v>
      </c>
      <c r="D156" s="1">
        <f t="shared" si="16"/>
        <v>45.64694688953211</v>
      </c>
      <c r="E156" s="18">
        <f t="shared" si="17"/>
        <v>34.35305311046789</v>
      </c>
      <c r="F156" s="1">
        <f t="shared" si="22"/>
        <v>80</v>
      </c>
      <c r="G156" s="9">
        <f t="shared" si="18"/>
        <v>0</v>
      </c>
      <c r="H156" s="9">
        <f t="shared" si="19"/>
        <v>80</v>
      </c>
      <c r="I156" s="9">
        <f t="shared" si="20"/>
        <v>0</v>
      </c>
      <c r="J156" s="9">
        <f t="shared" si="21"/>
        <v>0</v>
      </c>
      <c r="K156" s="1">
        <f t="shared" si="23"/>
        <v>80</v>
      </c>
      <c r="L156" s="1"/>
      <c r="M156" s="3"/>
      <c r="N156" s="3"/>
      <c r="O156" s="3"/>
      <c r="P156" s="3"/>
      <c r="Q156" s="3"/>
      <c r="R156" s="1"/>
    </row>
    <row r="157" spans="2:18" x14ac:dyDescent="0.2">
      <c r="B157">
        <v>145</v>
      </c>
      <c r="C157" s="1">
        <v>-1.085673951450475</v>
      </c>
      <c r="D157" s="1">
        <f t="shared" si="16"/>
        <v>45.776269109199966</v>
      </c>
      <c r="E157" s="18">
        <f t="shared" si="17"/>
        <v>34.223730890800034</v>
      </c>
      <c r="F157" s="1">
        <f t="shared" si="22"/>
        <v>80</v>
      </c>
      <c r="G157" s="9">
        <f t="shared" si="18"/>
        <v>0</v>
      </c>
      <c r="H157" s="9">
        <f t="shared" si="19"/>
        <v>80</v>
      </c>
      <c r="I157" s="9">
        <f t="shared" si="20"/>
        <v>0</v>
      </c>
      <c r="J157" s="9">
        <f t="shared" si="21"/>
        <v>0</v>
      </c>
      <c r="K157" s="1">
        <f t="shared" si="23"/>
        <v>80</v>
      </c>
      <c r="L157" s="1"/>
      <c r="M157" s="3"/>
      <c r="N157" s="3"/>
      <c r="O157" s="3"/>
      <c r="P157" s="3"/>
      <c r="Q157" s="3"/>
      <c r="R157" s="1"/>
    </row>
    <row r="158" spans="2:18" x14ac:dyDescent="0.2">
      <c r="B158">
        <v>146</v>
      </c>
      <c r="C158" s="1">
        <v>-1.0814561300682985</v>
      </c>
      <c r="D158" s="1">
        <f t="shared" si="16"/>
        <v>45.892261493829814</v>
      </c>
      <c r="E158" s="18">
        <f t="shared" si="17"/>
        <v>34.107738506170186</v>
      </c>
      <c r="F158" s="1">
        <f t="shared" si="22"/>
        <v>80</v>
      </c>
      <c r="G158" s="9">
        <f t="shared" si="18"/>
        <v>0</v>
      </c>
      <c r="H158" s="9">
        <f t="shared" si="19"/>
        <v>80</v>
      </c>
      <c r="I158" s="9">
        <f t="shared" si="20"/>
        <v>0</v>
      </c>
      <c r="J158" s="9">
        <f t="shared" si="21"/>
        <v>0</v>
      </c>
      <c r="K158" s="1">
        <f t="shared" si="23"/>
        <v>80</v>
      </c>
      <c r="L158" s="1"/>
      <c r="M158" s="3"/>
      <c r="N158" s="3"/>
      <c r="O158" s="3"/>
      <c r="P158" s="3"/>
      <c r="Q158" s="3"/>
      <c r="R158" s="1"/>
    </row>
    <row r="159" spans="2:18" x14ac:dyDescent="0.2">
      <c r="B159">
        <v>147</v>
      </c>
      <c r="C159" s="1">
        <v>-1.0807053952980061</v>
      </c>
      <c r="D159" s="1">
        <f t="shared" si="16"/>
        <v>45.912937900063802</v>
      </c>
      <c r="E159" s="18">
        <f t="shared" si="17"/>
        <v>34.087062099936198</v>
      </c>
      <c r="F159" s="1">
        <f t="shared" si="22"/>
        <v>80</v>
      </c>
      <c r="G159" s="9">
        <f t="shared" si="18"/>
        <v>0</v>
      </c>
      <c r="H159" s="9">
        <f t="shared" si="19"/>
        <v>80</v>
      </c>
      <c r="I159" s="9">
        <f t="shared" si="20"/>
        <v>0</v>
      </c>
      <c r="J159" s="9">
        <f t="shared" si="21"/>
        <v>0</v>
      </c>
      <c r="K159" s="1">
        <f t="shared" si="23"/>
        <v>80</v>
      </c>
      <c r="L159" s="1"/>
      <c r="M159" s="3"/>
      <c r="N159" s="3"/>
      <c r="O159" s="3"/>
      <c r="P159" s="3"/>
      <c r="Q159" s="3"/>
      <c r="R159" s="1"/>
    </row>
    <row r="160" spans="2:18" x14ac:dyDescent="0.2">
      <c r="B160">
        <v>148</v>
      </c>
      <c r="C160" s="1">
        <v>-1.0755261492061405</v>
      </c>
      <c r="D160" s="1">
        <f t="shared" si="16"/>
        <v>46.055836459620778</v>
      </c>
      <c r="E160" s="18">
        <f t="shared" si="17"/>
        <v>33.944163540379222</v>
      </c>
      <c r="F160" s="1">
        <f t="shared" si="22"/>
        <v>80</v>
      </c>
      <c r="G160" s="9">
        <f t="shared" si="18"/>
        <v>0</v>
      </c>
      <c r="H160" s="9">
        <f t="shared" si="19"/>
        <v>80</v>
      </c>
      <c r="I160" s="9">
        <f t="shared" si="20"/>
        <v>0</v>
      </c>
      <c r="J160" s="9">
        <f t="shared" si="21"/>
        <v>0</v>
      </c>
      <c r="K160" s="1">
        <f t="shared" si="23"/>
        <v>80</v>
      </c>
      <c r="L160" s="1"/>
      <c r="M160" s="3"/>
      <c r="N160" s="3"/>
      <c r="O160" s="3"/>
      <c r="P160" s="3"/>
      <c r="Q160" s="3"/>
      <c r="R160" s="1"/>
    </row>
    <row r="161" spans="2:18" x14ac:dyDescent="0.2">
      <c r="B161">
        <v>149</v>
      </c>
      <c r="C161" s="1">
        <v>-1.0738172789849876</v>
      </c>
      <c r="D161" s="1">
        <f t="shared" si="16"/>
        <v>46.103082745274534</v>
      </c>
      <c r="E161" s="18">
        <f t="shared" si="17"/>
        <v>33.896917254725466</v>
      </c>
      <c r="F161" s="1">
        <f t="shared" si="22"/>
        <v>80</v>
      </c>
      <c r="G161" s="9">
        <f t="shared" si="18"/>
        <v>0</v>
      </c>
      <c r="H161" s="9">
        <f t="shared" si="19"/>
        <v>80</v>
      </c>
      <c r="I161" s="9">
        <f t="shared" si="20"/>
        <v>0</v>
      </c>
      <c r="J161" s="9">
        <f t="shared" si="21"/>
        <v>0</v>
      </c>
      <c r="K161" s="1">
        <f t="shared" si="23"/>
        <v>80</v>
      </c>
      <c r="L161" s="1"/>
      <c r="M161" s="3"/>
      <c r="N161" s="3"/>
      <c r="O161" s="3"/>
      <c r="P161" s="3"/>
      <c r="Q161" s="3"/>
      <c r="R161" s="1"/>
    </row>
    <row r="162" spans="2:18" x14ac:dyDescent="0.2">
      <c r="B162">
        <v>150</v>
      </c>
      <c r="C162" s="1">
        <v>-1.0737865594991798</v>
      </c>
      <c r="D162" s="1">
        <f t="shared" si="16"/>
        <v>46.103932510903476</v>
      </c>
      <c r="E162" s="18">
        <f t="shared" si="17"/>
        <v>33.896067489096524</v>
      </c>
      <c r="F162" s="1">
        <f t="shared" si="22"/>
        <v>80</v>
      </c>
      <c r="G162" s="9">
        <f t="shared" si="18"/>
        <v>0</v>
      </c>
      <c r="H162" s="9">
        <f t="shared" si="19"/>
        <v>80</v>
      </c>
      <c r="I162" s="9">
        <f t="shared" si="20"/>
        <v>0</v>
      </c>
      <c r="J162" s="9">
        <f t="shared" si="21"/>
        <v>0</v>
      </c>
      <c r="K162" s="1">
        <f t="shared" si="23"/>
        <v>80</v>
      </c>
      <c r="L162" s="1"/>
      <c r="M162" s="3"/>
      <c r="N162" s="3"/>
      <c r="O162" s="3"/>
      <c r="P162" s="3"/>
      <c r="Q162" s="3"/>
      <c r="R162" s="1"/>
    </row>
    <row r="163" spans="2:18" x14ac:dyDescent="0.2">
      <c r="B163">
        <v>151</v>
      </c>
      <c r="C163" s="1">
        <v>-1.0667484212682872</v>
      </c>
      <c r="D163" s="1">
        <f t="shared" si="16"/>
        <v>46.299035679889691</v>
      </c>
      <c r="E163" s="18">
        <f t="shared" si="17"/>
        <v>33.700964320110309</v>
      </c>
      <c r="F163" s="1">
        <f t="shared" si="22"/>
        <v>80</v>
      </c>
      <c r="G163" s="9">
        <f t="shared" si="18"/>
        <v>0</v>
      </c>
      <c r="H163" s="9">
        <f t="shared" si="19"/>
        <v>80</v>
      </c>
      <c r="I163" s="9">
        <f t="shared" si="20"/>
        <v>0</v>
      </c>
      <c r="J163" s="9">
        <f t="shared" si="21"/>
        <v>0</v>
      </c>
      <c r="K163" s="1">
        <f t="shared" si="23"/>
        <v>80</v>
      </c>
      <c r="L163" s="1"/>
      <c r="M163" s="3"/>
      <c r="N163" s="3"/>
      <c r="O163" s="3"/>
      <c r="P163" s="3"/>
      <c r="Q163" s="3"/>
      <c r="R163" s="1"/>
    </row>
    <row r="164" spans="2:18" x14ac:dyDescent="0.2">
      <c r="B164">
        <v>152</v>
      </c>
      <c r="C164" s="1">
        <v>-1.0605602836520269</v>
      </c>
      <c r="D164" s="1">
        <f t="shared" si="16"/>
        <v>46.471258085398262</v>
      </c>
      <c r="E164" s="18">
        <f t="shared" si="17"/>
        <v>33.528741914601738</v>
      </c>
      <c r="F164" s="1">
        <f t="shared" si="22"/>
        <v>80</v>
      </c>
      <c r="G164" s="9">
        <f t="shared" si="18"/>
        <v>0</v>
      </c>
      <c r="H164" s="9">
        <f t="shared" si="19"/>
        <v>80</v>
      </c>
      <c r="I164" s="9">
        <f t="shared" si="20"/>
        <v>0</v>
      </c>
      <c r="J164" s="9">
        <f t="shared" si="21"/>
        <v>0</v>
      </c>
      <c r="K164" s="1">
        <f t="shared" si="23"/>
        <v>80</v>
      </c>
      <c r="L164" s="1"/>
      <c r="M164" s="3"/>
      <c r="N164" s="3"/>
      <c r="O164" s="3"/>
      <c r="P164" s="3"/>
      <c r="Q164" s="3"/>
      <c r="R164" s="1"/>
    </row>
    <row r="165" spans="2:18" x14ac:dyDescent="0.2">
      <c r="B165">
        <v>153</v>
      </c>
      <c r="C165" s="1">
        <v>-1.0496653212290945</v>
      </c>
      <c r="D165" s="1">
        <f t="shared" si="16"/>
        <v>46.776034725451851</v>
      </c>
      <c r="E165" s="18">
        <f t="shared" si="17"/>
        <v>33.223965274548149</v>
      </c>
      <c r="F165" s="1">
        <f t="shared" si="22"/>
        <v>80</v>
      </c>
      <c r="G165" s="9">
        <f t="shared" si="18"/>
        <v>0</v>
      </c>
      <c r="H165" s="9">
        <f t="shared" si="19"/>
        <v>80</v>
      </c>
      <c r="I165" s="9">
        <f t="shared" si="20"/>
        <v>0</v>
      </c>
      <c r="J165" s="9">
        <f t="shared" si="21"/>
        <v>0</v>
      </c>
      <c r="K165" s="1">
        <f t="shared" si="23"/>
        <v>80</v>
      </c>
      <c r="L165" s="1"/>
      <c r="M165" s="3"/>
      <c r="N165" s="3"/>
      <c r="O165" s="3"/>
      <c r="P165" s="3"/>
      <c r="Q165" s="3"/>
      <c r="R165" s="1"/>
    </row>
    <row r="166" spans="2:18" x14ac:dyDescent="0.2">
      <c r="B166">
        <v>154</v>
      </c>
      <c r="C166" s="1">
        <v>-1.0485571133385478</v>
      </c>
      <c r="D166" s="1">
        <f t="shared" si="16"/>
        <v>46.807147610631731</v>
      </c>
      <c r="E166" s="18">
        <f t="shared" si="17"/>
        <v>33.192852389368269</v>
      </c>
      <c r="F166" s="1">
        <f t="shared" si="22"/>
        <v>80</v>
      </c>
      <c r="G166" s="9">
        <f t="shared" si="18"/>
        <v>0</v>
      </c>
      <c r="H166" s="9">
        <f t="shared" si="19"/>
        <v>80</v>
      </c>
      <c r="I166" s="9">
        <f t="shared" si="20"/>
        <v>0</v>
      </c>
      <c r="J166" s="9">
        <f t="shared" si="21"/>
        <v>0</v>
      </c>
      <c r="K166" s="1">
        <f t="shared" si="23"/>
        <v>80</v>
      </c>
      <c r="L166" s="1"/>
      <c r="M166" s="3"/>
      <c r="N166" s="3"/>
      <c r="O166" s="3"/>
      <c r="P166" s="3"/>
      <c r="Q166" s="3"/>
      <c r="R166" s="1"/>
    </row>
    <row r="167" spans="2:18" x14ac:dyDescent="0.2">
      <c r="B167">
        <v>155</v>
      </c>
      <c r="C167" s="1">
        <v>-1.0449991910458956</v>
      </c>
      <c r="D167" s="1">
        <f t="shared" si="16"/>
        <v>46.907176057039905</v>
      </c>
      <c r="E167" s="18">
        <f t="shared" si="17"/>
        <v>33.092823942960095</v>
      </c>
      <c r="F167" s="1">
        <f t="shared" si="22"/>
        <v>80</v>
      </c>
      <c r="G167" s="9">
        <f t="shared" si="18"/>
        <v>0</v>
      </c>
      <c r="H167" s="9">
        <f t="shared" si="19"/>
        <v>80</v>
      </c>
      <c r="I167" s="9">
        <f t="shared" si="20"/>
        <v>0</v>
      </c>
      <c r="J167" s="9">
        <f t="shared" si="21"/>
        <v>0</v>
      </c>
      <c r="K167" s="1">
        <f t="shared" si="23"/>
        <v>80</v>
      </c>
      <c r="L167" s="1"/>
      <c r="M167" s="3"/>
      <c r="N167" s="3"/>
      <c r="O167" s="3"/>
      <c r="P167" s="3"/>
      <c r="Q167" s="3"/>
      <c r="R167" s="1"/>
    </row>
    <row r="168" spans="2:18" x14ac:dyDescent="0.2">
      <c r="B168">
        <v>156</v>
      </c>
      <c r="C168" s="1">
        <v>-1.0389466796273865</v>
      </c>
      <c r="D168" s="1">
        <f t="shared" si="16"/>
        <v>47.07782946522174</v>
      </c>
      <c r="E168" s="18">
        <f t="shared" si="17"/>
        <v>32.92217053477826</v>
      </c>
      <c r="F168" s="1">
        <f t="shared" si="22"/>
        <v>80</v>
      </c>
      <c r="G168" s="9">
        <f t="shared" si="18"/>
        <v>0</v>
      </c>
      <c r="H168" s="9">
        <f t="shared" si="19"/>
        <v>80</v>
      </c>
      <c r="I168" s="9">
        <f t="shared" si="20"/>
        <v>0</v>
      </c>
      <c r="J168" s="9">
        <f t="shared" si="21"/>
        <v>0</v>
      </c>
      <c r="K168" s="1">
        <f t="shared" si="23"/>
        <v>80</v>
      </c>
      <c r="L168" s="1"/>
      <c r="M168" s="3"/>
      <c r="N168" s="3"/>
      <c r="O168" s="3"/>
      <c r="P168" s="3"/>
      <c r="Q168" s="3"/>
      <c r="R168" s="1"/>
    </row>
    <row r="169" spans="2:18" x14ac:dyDescent="0.2">
      <c r="B169">
        <v>157</v>
      </c>
      <c r="C169" s="1">
        <v>-1.038903208084905</v>
      </c>
      <c r="D169" s="1">
        <f t="shared" si="16"/>
        <v>47.079057408753968</v>
      </c>
      <c r="E169" s="18">
        <f t="shared" si="17"/>
        <v>32.920942591246032</v>
      </c>
      <c r="F169" s="1">
        <f t="shared" si="22"/>
        <v>80</v>
      </c>
      <c r="G169" s="9">
        <f t="shared" si="18"/>
        <v>0</v>
      </c>
      <c r="H169" s="9">
        <f t="shared" si="19"/>
        <v>80</v>
      </c>
      <c r="I169" s="9">
        <f t="shared" si="20"/>
        <v>0</v>
      </c>
      <c r="J169" s="9">
        <f t="shared" si="21"/>
        <v>0</v>
      </c>
      <c r="K169" s="1">
        <f t="shared" si="23"/>
        <v>80</v>
      </c>
      <c r="L169" s="1"/>
      <c r="M169" s="3"/>
      <c r="N169" s="3"/>
      <c r="O169" s="3"/>
      <c r="P169" s="3"/>
      <c r="Q169" s="3"/>
      <c r="R169" s="1"/>
    </row>
    <row r="170" spans="2:18" x14ac:dyDescent="0.2">
      <c r="B170">
        <v>158</v>
      </c>
      <c r="C170" s="1">
        <v>-1.0246514157757314</v>
      </c>
      <c r="D170" s="1">
        <f t="shared" si="16"/>
        <v>47.48336012566191</v>
      </c>
      <c r="E170" s="18">
        <f t="shared" si="17"/>
        <v>32.51663987433809</v>
      </c>
      <c r="F170" s="1">
        <f t="shared" si="22"/>
        <v>80</v>
      </c>
      <c r="G170" s="9">
        <f t="shared" si="18"/>
        <v>0</v>
      </c>
      <c r="H170" s="9">
        <f t="shared" si="19"/>
        <v>80</v>
      </c>
      <c r="I170" s="9">
        <f t="shared" si="20"/>
        <v>0</v>
      </c>
      <c r="J170" s="9">
        <f t="shared" si="21"/>
        <v>0</v>
      </c>
      <c r="K170" s="1">
        <f t="shared" si="23"/>
        <v>80</v>
      </c>
      <c r="L170" s="1"/>
      <c r="M170" s="3"/>
      <c r="N170" s="3"/>
      <c r="O170" s="3"/>
      <c r="P170" s="3"/>
      <c r="Q170" s="3"/>
      <c r="R170" s="1"/>
    </row>
    <row r="171" spans="2:18" x14ac:dyDescent="0.2">
      <c r="B171">
        <v>159</v>
      </c>
      <c r="C171" s="1">
        <v>-1.0194720588380695</v>
      </c>
      <c r="D171" s="1">
        <f t="shared" si="16"/>
        <v>47.631149605479564</v>
      </c>
      <c r="E171" s="18">
        <f t="shared" si="17"/>
        <v>32.368850394520436</v>
      </c>
      <c r="F171" s="1">
        <f t="shared" si="22"/>
        <v>80</v>
      </c>
      <c r="G171" s="9">
        <f t="shared" si="18"/>
        <v>0</v>
      </c>
      <c r="H171" s="9">
        <f t="shared" si="19"/>
        <v>80</v>
      </c>
      <c r="I171" s="9">
        <f t="shared" si="20"/>
        <v>0</v>
      </c>
      <c r="J171" s="9">
        <f t="shared" si="21"/>
        <v>0</v>
      </c>
      <c r="K171" s="1">
        <f t="shared" si="23"/>
        <v>80</v>
      </c>
      <c r="L171" s="1"/>
      <c r="M171" s="3"/>
      <c r="N171" s="3"/>
      <c r="O171" s="3"/>
      <c r="P171" s="3"/>
      <c r="Q171" s="3"/>
      <c r="R171" s="1"/>
    </row>
    <row r="172" spans="2:18" x14ac:dyDescent="0.2">
      <c r="B172">
        <v>160</v>
      </c>
      <c r="C172" s="1">
        <v>-1.0126935281843903</v>
      </c>
      <c r="D172" s="1">
        <f t="shared" si="16"/>
        <v>47.825265608885864</v>
      </c>
      <c r="E172" s="18">
        <f t="shared" si="17"/>
        <v>32.174734391114136</v>
      </c>
      <c r="F172" s="1">
        <f t="shared" si="22"/>
        <v>80</v>
      </c>
      <c r="G172" s="9">
        <f t="shared" si="18"/>
        <v>0</v>
      </c>
      <c r="H172" s="9">
        <f t="shared" si="19"/>
        <v>80</v>
      </c>
      <c r="I172" s="9">
        <f t="shared" si="20"/>
        <v>0</v>
      </c>
      <c r="J172" s="9">
        <f t="shared" si="21"/>
        <v>0</v>
      </c>
      <c r="K172" s="1">
        <f t="shared" si="23"/>
        <v>80</v>
      </c>
      <c r="L172" s="1"/>
      <c r="M172" s="3"/>
      <c r="N172" s="3"/>
      <c r="O172" s="3"/>
      <c r="P172" s="3"/>
      <c r="Q172" s="3"/>
      <c r="R172" s="1"/>
    </row>
    <row r="173" spans="2:18" x14ac:dyDescent="0.2">
      <c r="B173">
        <v>161</v>
      </c>
      <c r="C173" s="1">
        <v>-1.0125597812202172</v>
      </c>
      <c r="D173" s="1">
        <f t="shared" si="16"/>
        <v>47.829103653333419</v>
      </c>
      <c r="E173" s="18">
        <f t="shared" si="17"/>
        <v>32.170896346666581</v>
      </c>
      <c r="F173" s="1">
        <f t="shared" si="22"/>
        <v>80</v>
      </c>
      <c r="G173" s="9">
        <f t="shared" si="18"/>
        <v>0</v>
      </c>
      <c r="H173" s="9">
        <f t="shared" si="19"/>
        <v>80</v>
      </c>
      <c r="I173" s="9">
        <f t="shared" si="20"/>
        <v>0</v>
      </c>
      <c r="J173" s="9">
        <f t="shared" si="21"/>
        <v>0</v>
      </c>
      <c r="K173" s="1">
        <f t="shared" si="23"/>
        <v>80</v>
      </c>
      <c r="L173" s="1"/>
      <c r="M173" s="3"/>
      <c r="N173" s="3"/>
      <c r="O173" s="3"/>
      <c r="P173" s="3"/>
      <c r="Q173" s="3"/>
      <c r="R173" s="1"/>
    </row>
    <row r="174" spans="2:18" x14ac:dyDescent="0.2">
      <c r="B174">
        <v>162</v>
      </c>
      <c r="C174" s="1">
        <v>-1.0113269308533026</v>
      </c>
      <c r="D174" s="1">
        <f t="shared" si="16"/>
        <v>47.864496418707652</v>
      </c>
      <c r="E174" s="18">
        <f t="shared" si="17"/>
        <v>32.135503581292348</v>
      </c>
      <c r="F174" s="1">
        <f t="shared" si="22"/>
        <v>80</v>
      </c>
      <c r="G174" s="9">
        <f t="shared" si="18"/>
        <v>0</v>
      </c>
      <c r="H174" s="9">
        <f t="shared" si="19"/>
        <v>80</v>
      </c>
      <c r="I174" s="9">
        <f t="shared" si="20"/>
        <v>0</v>
      </c>
      <c r="J174" s="9">
        <f t="shared" si="21"/>
        <v>0</v>
      </c>
      <c r="K174" s="1">
        <f t="shared" si="23"/>
        <v>80</v>
      </c>
      <c r="L174" s="1"/>
      <c r="M174" s="3"/>
      <c r="N174" s="3"/>
      <c r="O174" s="3"/>
      <c r="P174" s="3"/>
      <c r="Q174" s="3"/>
      <c r="R174" s="1"/>
    </row>
    <row r="175" spans="2:18" x14ac:dyDescent="0.2">
      <c r="B175">
        <v>163</v>
      </c>
      <c r="C175" s="1">
        <v>-1.0104920358433394</v>
      </c>
      <c r="D175" s="1">
        <f t="shared" si="16"/>
        <v>47.888479522746927</v>
      </c>
      <c r="E175" s="18">
        <f t="shared" si="17"/>
        <v>32.111520477253073</v>
      </c>
      <c r="F175" s="1">
        <f t="shared" si="22"/>
        <v>80</v>
      </c>
      <c r="G175" s="9">
        <f t="shared" si="18"/>
        <v>0</v>
      </c>
      <c r="H175" s="9">
        <f t="shared" si="19"/>
        <v>80</v>
      </c>
      <c r="I175" s="9">
        <f t="shared" si="20"/>
        <v>0</v>
      </c>
      <c r="J175" s="9">
        <f t="shared" si="21"/>
        <v>0</v>
      </c>
      <c r="K175" s="1">
        <f t="shared" si="23"/>
        <v>80</v>
      </c>
      <c r="L175" s="1"/>
      <c r="M175" s="3"/>
      <c r="N175" s="3"/>
      <c r="O175" s="3"/>
      <c r="P175" s="3"/>
      <c r="Q175" s="3"/>
      <c r="R175" s="1"/>
    </row>
    <row r="176" spans="2:18" x14ac:dyDescent="0.2">
      <c r="B176">
        <v>164</v>
      </c>
      <c r="C176" s="1">
        <v>-1.0060591857827703</v>
      </c>
      <c r="D176" s="1">
        <f t="shared" si="16"/>
        <v>48.01601852555676</v>
      </c>
      <c r="E176" s="18">
        <f t="shared" si="17"/>
        <v>31.98398147444324</v>
      </c>
      <c r="F176" s="1">
        <f t="shared" si="22"/>
        <v>80</v>
      </c>
      <c r="G176" s="9">
        <f t="shared" si="18"/>
        <v>0</v>
      </c>
      <c r="H176" s="9">
        <f t="shared" si="19"/>
        <v>80</v>
      </c>
      <c r="I176" s="9">
        <f t="shared" si="20"/>
        <v>0</v>
      </c>
      <c r="J176" s="9">
        <f t="shared" si="21"/>
        <v>0</v>
      </c>
      <c r="K176" s="1">
        <f t="shared" si="23"/>
        <v>80</v>
      </c>
      <c r="L176" s="1"/>
      <c r="M176" s="3"/>
      <c r="N176" s="3"/>
      <c r="O176" s="3"/>
      <c r="P176" s="3"/>
      <c r="Q176" s="3"/>
      <c r="R176" s="1"/>
    </row>
    <row r="177" spans="2:18" x14ac:dyDescent="0.2">
      <c r="B177">
        <v>165</v>
      </c>
      <c r="C177" s="1">
        <v>-1.0008737786054147</v>
      </c>
      <c r="D177" s="1">
        <f t="shared" si="16"/>
        <v>48.165640724725435</v>
      </c>
      <c r="E177" s="18">
        <f t="shared" si="17"/>
        <v>31.834359275274565</v>
      </c>
      <c r="F177" s="1">
        <f t="shared" si="22"/>
        <v>80</v>
      </c>
      <c r="G177" s="9">
        <f t="shared" si="18"/>
        <v>0</v>
      </c>
      <c r="H177" s="9">
        <f t="shared" si="19"/>
        <v>80</v>
      </c>
      <c r="I177" s="9">
        <f t="shared" si="20"/>
        <v>0</v>
      </c>
      <c r="J177" s="9">
        <f t="shared" si="21"/>
        <v>0</v>
      </c>
      <c r="K177" s="1">
        <f t="shared" si="23"/>
        <v>80</v>
      </c>
      <c r="L177" s="1"/>
      <c r="M177" s="3"/>
      <c r="N177" s="3"/>
      <c r="O177" s="3"/>
      <c r="P177" s="3"/>
      <c r="Q177" s="3"/>
      <c r="R177" s="1"/>
    </row>
    <row r="178" spans="2:18" x14ac:dyDescent="0.2">
      <c r="B178">
        <v>166</v>
      </c>
      <c r="C178" s="1">
        <v>-1.0007914069960817</v>
      </c>
      <c r="D178" s="1">
        <f t="shared" si="16"/>
        <v>48.168021272356441</v>
      </c>
      <c r="E178" s="18">
        <f t="shared" si="17"/>
        <v>31.831978727643559</v>
      </c>
      <c r="F178" s="1">
        <f t="shared" si="22"/>
        <v>80</v>
      </c>
      <c r="G178" s="9">
        <f t="shared" si="18"/>
        <v>0</v>
      </c>
      <c r="H178" s="9">
        <f t="shared" si="19"/>
        <v>80</v>
      </c>
      <c r="I178" s="9">
        <f t="shared" si="20"/>
        <v>0</v>
      </c>
      <c r="J178" s="9">
        <f t="shared" si="21"/>
        <v>0</v>
      </c>
      <c r="K178" s="1">
        <f t="shared" si="23"/>
        <v>80</v>
      </c>
      <c r="L178" s="1"/>
      <c r="M178" s="3"/>
      <c r="N178" s="3"/>
      <c r="O178" s="3"/>
      <c r="P178" s="3"/>
      <c r="Q178" s="3"/>
      <c r="R178" s="1"/>
    </row>
    <row r="179" spans="2:18" x14ac:dyDescent="0.2">
      <c r="B179">
        <v>167</v>
      </c>
      <c r="C179" s="1">
        <v>-0.9890330225530406</v>
      </c>
      <c r="D179" s="1">
        <f t="shared" si="16"/>
        <v>48.50904970806841</v>
      </c>
      <c r="E179" s="18">
        <f t="shared" si="17"/>
        <v>31.49095029193159</v>
      </c>
      <c r="F179" s="1">
        <f t="shared" si="22"/>
        <v>80</v>
      </c>
      <c r="G179" s="9">
        <f t="shared" si="18"/>
        <v>0</v>
      </c>
      <c r="H179" s="9">
        <f t="shared" si="19"/>
        <v>80</v>
      </c>
      <c r="I179" s="9">
        <f t="shared" si="20"/>
        <v>0</v>
      </c>
      <c r="J179" s="9">
        <f t="shared" si="21"/>
        <v>0</v>
      </c>
      <c r="K179" s="1">
        <f t="shared" si="23"/>
        <v>80</v>
      </c>
      <c r="L179" s="1"/>
      <c r="M179" s="3"/>
      <c r="N179" s="3"/>
      <c r="O179" s="3"/>
      <c r="P179" s="3"/>
      <c r="Q179" s="3"/>
      <c r="R179" s="1"/>
    </row>
    <row r="180" spans="2:18" x14ac:dyDescent="0.2">
      <c r="B180">
        <v>168</v>
      </c>
      <c r="C180" s="1">
        <v>-0.98897327333691998</v>
      </c>
      <c r="D180" s="1">
        <f t="shared" si="16"/>
        <v>48.51078876585732</v>
      </c>
      <c r="E180" s="18">
        <f t="shared" si="17"/>
        <v>31.48921123414268</v>
      </c>
      <c r="F180" s="1">
        <f t="shared" si="22"/>
        <v>80</v>
      </c>
      <c r="G180" s="9">
        <f t="shared" si="18"/>
        <v>0</v>
      </c>
      <c r="H180" s="9">
        <f t="shared" si="19"/>
        <v>80</v>
      </c>
      <c r="I180" s="9">
        <f t="shared" si="20"/>
        <v>0</v>
      </c>
      <c r="J180" s="9">
        <f t="shared" si="21"/>
        <v>0</v>
      </c>
      <c r="K180" s="1">
        <f t="shared" si="23"/>
        <v>80</v>
      </c>
      <c r="L180" s="1"/>
      <c r="M180" s="3"/>
      <c r="N180" s="3"/>
      <c r="O180" s="3"/>
      <c r="P180" s="3"/>
      <c r="Q180" s="3"/>
      <c r="R180" s="1"/>
    </row>
    <row r="181" spans="2:18" x14ac:dyDescent="0.2">
      <c r="B181">
        <v>169</v>
      </c>
      <c r="C181" s="1">
        <v>-0.98653335413522381</v>
      </c>
      <c r="D181" s="1">
        <f t="shared" si="16"/>
        <v>48.581858217279887</v>
      </c>
      <c r="E181" s="18">
        <f t="shared" si="17"/>
        <v>31.418141782720113</v>
      </c>
      <c r="F181" s="1">
        <f t="shared" si="22"/>
        <v>80</v>
      </c>
      <c r="G181" s="9">
        <f t="shared" si="18"/>
        <v>0</v>
      </c>
      <c r="H181" s="9">
        <f t="shared" si="19"/>
        <v>80</v>
      </c>
      <c r="I181" s="9">
        <f t="shared" si="20"/>
        <v>0</v>
      </c>
      <c r="J181" s="9">
        <f t="shared" si="21"/>
        <v>0</v>
      </c>
      <c r="K181" s="1">
        <f t="shared" si="23"/>
        <v>80</v>
      </c>
      <c r="L181" s="1"/>
      <c r="M181" s="3"/>
      <c r="N181" s="3"/>
      <c r="O181" s="3"/>
      <c r="P181" s="3"/>
      <c r="Q181" s="3"/>
      <c r="R181" s="1"/>
    </row>
    <row r="182" spans="2:18" x14ac:dyDescent="0.2">
      <c r="B182">
        <v>170</v>
      </c>
      <c r="C182" s="1">
        <v>-0.981812531103607</v>
      </c>
      <c r="D182" s="1">
        <f t="shared" si="16"/>
        <v>48.719661101169905</v>
      </c>
      <c r="E182" s="18">
        <f t="shared" si="17"/>
        <v>31.280338898830095</v>
      </c>
      <c r="F182" s="1">
        <f t="shared" si="22"/>
        <v>80</v>
      </c>
      <c r="G182" s="9">
        <f t="shared" si="18"/>
        <v>0</v>
      </c>
      <c r="H182" s="9">
        <f t="shared" si="19"/>
        <v>80</v>
      </c>
      <c r="I182" s="9">
        <f t="shared" si="20"/>
        <v>0</v>
      </c>
      <c r="J182" s="9">
        <f t="shared" si="21"/>
        <v>0</v>
      </c>
      <c r="K182" s="1">
        <f t="shared" si="23"/>
        <v>80</v>
      </c>
      <c r="L182" s="1"/>
      <c r="M182" s="3"/>
      <c r="N182" s="3"/>
      <c r="O182" s="3"/>
      <c r="P182" s="3"/>
      <c r="Q182" s="3"/>
      <c r="R182" s="1"/>
    </row>
    <row r="183" spans="2:18" x14ac:dyDescent="0.2">
      <c r="B183">
        <v>171</v>
      </c>
      <c r="C183" s="1">
        <v>-0.97868471609910135</v>
      </c>
      <c r="D183" s="1">
        <f t="shared" si="16"/>
        <v>48.81117860145698</v>
      </c>
      <c r="E183" s="18">
        <f t="shared" si="17"/>
        <v>31.18882139854302</v>
      </c>
      <c r="F183" s="1">
        <f t="shared" si="22"/>
        <v>80</v>
      </c>
      <c r="G183" s="9">
        <f t="shared" si="18"/>
        <v>0</v>
      </c>
      <c r="H183" s="9">
        <f t="shared" si="19"/>
        <v>80</v>
      </c>
      <c r="I183" s="9">
        <f t="shared" si="20"/>
        <v>0</v>
      </c>
      <c r="J183" s="9">
        <f t="shared" si="21"/>
        <v>0</v>
      </c>
      <c r="K183" s="1">
        <f t="shared" si="23"/>
        <v>80</v>
      </c>
      <c r="L183" s="1"/>
      <c r="M183" s="3"/>
      <c r="N183" s="3"/>
      <c r="O183" s="3"/>
      <c r="P183" s="3"/>
      <c r="Q183" s="3"/>
      <c r="R183" s="1"/>
    </row>
    <row r="184" spans="2:18" x14ac:dyDescent="0.2">
      <c r="B184">
        <v>172</v>
      </c>
      <c r="C184" s="1">
        <v>-0.9635452151036209</v>
      </c>
      <c r="D184" s="1">
        <f t="shared" si="16"/>
        <v>49.256584638548254</v>
      </c>
      <c r="E184" s="18">
        <f t="shared" si="17"/>
        <v>30.743415361451746</v>
      </c>
      <c r="F184" s="1">
        <f t="shared" si="22"/>
        <v>80</v>
      </c>
      <c r="G184" s="9">
        <f t="shared" si="18"/>
        <v>0</v>
      </c>
      <c r="H184" s="9">
        <f t="shared" si="19"/>
        <v>80</v>
      </c>
      <c r="I184" s="9">
        <f t="shared" si="20"/>
        <v>0</v>
      </c>
      <c r="J184" s="9">
        <f t="shared" si="21"/>
        <v>0</v>
      </c>
      <c r="K184" s="1">
        <f t="shared" si="23"/>
        <v>80</v>
      </c>
      <c r="L184" s="1"/>
      <c r="M184" s="3"/>
      <c r="N184" s="3"/>
      <c r="O184" s="3"/>
      <c r="P184" s="3"/>
      <c r="Q184" s="3"/>
      <c r="R184" s="1"/>
    </row>
    <row r="185" spans="2:18" x14ac:dyDescent="0.2">
      <c r="B185">
        <v>173</v>
      </c>
      <c r="C185" s="1">
        <v>-0.9574258307957082</v>
      </c>
      <c r="D185" s="1">
        <f t="shared" si="16"/>
        <v>49.437769038756421</v>
      </c>
      <c r="E185" s="18">
        <f t="shared" si="17"/>
        <v>30.562230961243579</v>
      </c>
      <c r="F185" s="1">
        <f t="shared" si="22"/>
        <v>80</v>
      </c>
      <c r="G185" s="9">
        <f t="shared" si="18"/>
        <v>0</v>
      </c>
      <c r="H185" s="9">
        <f t="shared" si="19"/>
        <v>80</v>
      </c>
      <c r="I185" s="9">
        <f t="shared" si="20"/>
        <v>0</v>
      </c>
      <c r="J185" s="9">
        <f t="shared" si="21"/>
        <v>0</v>
      </c>
      <c r="K185" s="1">
        <f t="shared" si="23"/>
        <v>80</v>
      </c>
      <c r="L185" s="1"/>
      <c r="M185" s="3"/>
      <c r="N185" s="3"/>
      <c r="O185" s="3"/>
      <c r="P185" s="3"/>
      <c r="Q185" s="3"/>
      <c r="R185" s="1"/>
    </row>
    <row r="186" spans="2:18" x14ac:dyDescent="0.2">
      <c r="B186">
        <v>174</v>
      </c>
      <c r="C186" s="1">
        <v>-0.95722590555492482</v>
      </c>
      <c r="D186" s="1">
        <f t="shared" si="16"/>
        <v>49.443699709183839</v>
      </c>
      <c r="E186" s="18">
        <f t="shared" si="17"/>
        <v>30.556300290816161</v>
      </c>
      <c r="F186" s="1">
        <f t="shared" si="22"/>
        <v>80</v>
      </c>
      <c r="G186" s="9">
        <f t="shared" si="18"/>
        <v>0</v>
      </c>
      <c r="H186" s="9">
        <f t="shared" si="19"/>
        <v>80</v>
      </c>
      <c r="I186" s="9">
        <f t="shared" si="20"/>
        <v>0</v>
      </c>
      <c r="J186" s="9">
        <f t="shared" si="21"/>
        <v>0</v>
      </c>
      <c r="K186" s="1">
        <f t="shared" si="23"/>
        <v>80</v>
      </c>
      <c r="L186" s="1"/>
      <c r="M186" s="3"/>
      <c r="N186" s="3"/>
      <c r="O186" s="3"/>
      <c r="P186" s="3"/>
      <c r="Q186" s="3"/>
      <c r="R186" s="1"/>
    </row>
    <row r="187" spans="2:18" x14ac:dyDescent="0.2">
      <c r="B187">
        <v>175</v>
      </c>
      <c r="C187" s="1">
        <v>-0.95289915918773926</v>
      </c>
      <c r="D187" s="1">
        <f t="shared" si="16"/>
        <v>49.57222467433737</v>
      </c>
      <c r="E187" s="18">
        <f t="shared" si="17"/>
        <v>30.42777532566263</v>
      </c>
      <c r="F187" s="1">
        <f t="shared" si="22"/>
        <v>80</v>
      </c>
      <c r="G187" s="9">
        <f t="shared" si="18"/>
        <v>0</v>
      </c>
      <c r="H187" s="9">
        <f t="shared" si="19"/>
        <v>80</v>
      </c>
      <c r="I187" s="9">
        <f t="shared" si="20"/>
        <v>0</v>
      </c>
      <c r="J187" s="9">
        <f t="shared" si="21"/>
        <v>0</v>
      </c>
      <c r="K187" s="1">
        <f t="shared" si="23"/>
        <v>80</v>
      </c>
      <c r="L187" s="1"/>
      <c r="M187" s="3"/>
      <c r="N187" s="3"/>
      <c r="O187" s="3"/>
      <c r="P187" s="3"/>
      <c r="Q187" s="3"/>
      <c r="R187" s="1"/>
    </row>
    <row r="188" spans="2:18" x14ac:dyDescent="0.2">
      <c r="B188">
        <v>176</v>
      </c>
      <c r="C188" s="1">
        <v>-0.95210376457238155</v>
      </c>
      <c r="D188" s="1">
        <f t="shared" si="16"/>
        <v>49.595888008741248</v>
      </c>
      <c r="E188" s="18">
        <f t="shared" si="17"/>
        <v>30.404111991258752</v>
      </c>
      <c r="F188" s="1">
        <f t="shared" si="22"/>
        <v>80</v>
      </c>
      <c r="G188" s="9">
        <f t="shared" si="18"/>
        <v>0</v>
      </c>
      <c r="H188" s="9">
        <f t="shared" si="19"/>
        <v>80</v>
      </c>
      <c r="I188" s="9">
        <f t="shared" si="20"/>
        <v>0</v>
      </c>
      <c r="J188" s="9">
        <f t="shared" si="21"/>
        <v>0</v>
      </c>
      <c r="K188" s="1">
        <f t="shared" si="23"/>
        <v>80</v>
      </c>
      <c r="L188" s="1"/>
      <c r="M188" s="3"/>
      <c r="N188" s="3"/>
      <c r="O188" s="3"/>
      <c r="P188" s="3"/>
      <c r="Q188" s="3"/>
      <c r="R188" s="1"/>
    </row>
    <row r="189" spans="2:18" x14ac:dyDescent="0.2">
      <c r="B189">
        <v>177</v>
      </c>
      <c r="C189" s="1">
        <v>-0.94996526808367776</v>
      </c>
      <c r="D189" s="1">
        <f t="shared" si="16"/>
        <v>49.659565231476726</v>
      </c>
      <c r="E189" s="18">
        <f t="shared" si="17"/>
        <v>30.340434768523274</v>
      </c>
      <c r="F189" s="1">
        <f t="shared" si="22"/>
        <v>80</v>
      </c>
      <c r="G189" s="9">
        <f t="shared" si="18"/>
        <v>0</v>
      </c>
      <c r="H189" s="9">
        <f t="shared" si="19"/>
        <v>80</v>
      </c>
      <c r="I189" s="9">
        <f t="shared" si="20"/>
        <v>0</v>
      </c>
      <c r="J189" s="9">
        <f t="shared" si="21"/>
        <v>0</v>
      </c>
      <c r="K189" s="1">
        <f t="shared" si="23"/>
        <v>80</v>
      </c>
      <c r="L189" s="1"/>
      <c r="M189" s="3"/>
      <c r="N189" s="3"/>
      <c r="O189" s="3"/>
      <c r="P189" s="3"/>
      <c r="Q189" s="3"/>
      <c r="R189" s="1"/>
    </row>
    <row r="190" spans="2:18" x14ac:dyDescent="0.2">
      <c r="B190">
        <v>178</v>
      </c>
      <c r="C190" s="1">
        <v>-0.94340370945564456</v>
      </c>
      <c r="D190" s="1">
        <f t="shared" si="16"/>
        <v>49.855457074427733</v>
      </c>
      <c r="E190" s="18">
        <f t="shared" si="17"/>
        <v>30.144542925572267</v>
      </c>
      <c r="F190" s="1">
        <f t="shared" si="22"/>
        <v>80</v>
      </c>
      <c r="G190" s="9">
        <f t="shared" si="18"/>
        <v>0</v>
      </c>
      <c r="H190" s="9">
        <f t="shared" si="19"/>
        <v>80</v>
      </c>
      <c r="I190" s="9">
        <f t="shared" si="20"/>
        <v>0</v>
      </c>
      <c r="J190" s="9">
        <f t="shared" si="21"/>
        <v>0</v>
      </c>
      <c r="K190" s="1">
        <f t="shared" si="23"/>
        <v>80</v>
      </c>
      <c r="L190" s="1"/>
      <c r="M190" s="3"/>
      <c r="N190" s="3"/>
      <c r="O190" s="3"/>
      <c r="P190" s="3"/>
      <c r="Q190" s="3"/>
      <c r="R190" s="1"/>
    </row>
    <row r="191" spans="2:18" x14ac:dyDescent="0.2">
      <c r="B191">
        <v>179</v>
      </c>
      <c r="C191" s="1">
        <v>-0.94107885182519213</v>
      </c>
      <c r="D191" s="1">
        <f t="shared" si="16"/>
        <v>49.925049704910272</v>
      </c>
      <c r="E191" s="18">
        <f t="shared" si="17"/>
        <v>30.074950295089728</v>
      </c>
      <c r="F191" s="1">
        <f t="shared" si="22"/>
        <v>80</v>
      </c>
      <c r="G191" s="9">
        <f t="shared" si="18"/>
        <v>0</v>
      </c>
      <c r="H191" s="9">
        <f t="shared" si="19"/>
        <v>80</v>
      </c>
      <c r="I191" s="9">
        <f t="shared" si="20"/>
        <v>0</v>
      </c>
      <c r="J191" s="9">
        <f t="shared" si="21"/>
        <v>0</v>
      </c>
      <c r="K191" s="1">
        <f t="shared" si="23"/>
        <v>80</v>
      </c>
      <c r="L191" s="1"/>
      <c r="M191" s="3"/>
      <c r="N191" s="3"/>
      <c r="O191" s="3"/>
      <c r="P191" s="3"/>
      <c r="Q191" s="3"/>
      <c r="R191" s="1"/>
    </row>
    <row r="192" spans="2:18" x14ac:dyDescent="0.2">
      <c r="B192">
        <v>180</v>
      </c>
      <c r="C192" s="1">
        <v>-0.93974345786759128</v>
      </c>
      <c r="D192" s="1">
        <f t="shared" si="16"/>
        <v>49.965067500451411</v>
      </c>
      <c r="E192" s="18">
        <f t="shared" si="17"/>
        <v>30.034932499548589</v>
      </c>
      <c r="F192" s="1">
        <f t="shared" si="22"/>
        <v>80</v>
      </c>
      <c r="G192" s="9">
        <f t="shared" si="18"/>
        <v>0</v>
      </c>
      <c r="H192" s="9">
        <f t="shared" si="19"/>
        <v>80</v>
      </c>
      <c r="I192" s="9">
        <f t="shared" si="20"/>
        <v>0</v>
      </c>
      <c r="J192" s="9">
        <f t="shared" si="21"/>
        <v>0</v>
      </c>
      <c r="K192" s="1">
        <f t="shared" si="23"/>
        <v>80</v>
      </c>
      <c r="L192" s="1"/>
      <c r="M192" s="3"/>
      <c r="N192" s="3"/>
      <c r="O192" s="3"/>
      <c r="P192" s="3"/>
      <c r="Q192" s="3"/>
      <c r="R192" s="1"/>
    </row>
    <row r="193" spans="2:18" x14ac:dyDescent="0.2">
      <c r="B193">
        <v>181</v>
      </c>
      <c r="C193" s="1">
        <v>-0.93648808049892662</v>
      </c>
      <c r="D193" s="1">
        <f t="shared" si="16"/>
        <v>50.062755963215992</v>
      </c>
      <c r="E193" s="18">
        <f t="shared" si="17"/>
        <v>29.937244036784008</v>
      </c>
      <c r="F193" s="1">
        <f t="shared" si="22"/>
        <v>80</v>
      </c>
      <c r="G193" s="9">
        <f t="shared" si="18"/>
        <v>0</v>
      </c>
      <c r="H193" s="9">
        <f t="shared" si="19"/>
        <v>80</v>
      </c>
      <c r="I193" s="9">
        <f t="shared" si="20"/>
        <v>0</v>
      </c>
      <c r="J193" s="9">
        <f t="shared" si="21"/>
        <v>0</v>
      </c>
      <c r="K193" s="1">
        <f t="shared" si="23"/>
        <v>80</v>
      </c>
      <c r="L193" s="1"/>
      <c r="M193" s="3"/>
      <c r="N193" s="3"/>
      <c r="O193" s="3"/>
      <c r="P193" s="3"/>
      <c r="Q193" s="3"/>
      <c r="R193" s="1"/>
    </row>
    <row r="194" spans="2:18" x14ac:dyDescent="0.2">
      <c r="B194">
        <v>182</v>
      </c>
      <c r="C194" s="1">
        <v>-0.93378457136076509</v>
      </c>
      <c r="D194" s="1">
        <f t="shared" si="16"/>
        <v>50.144028932997166</v>
      </c>
      <c r="E194" s="18">
        <f t="shared" si="17"/>
        <v>29.855971067002834</v>
      </c>
      <c r="F194" s="1">
        <f t="shared" si="22"/>
        <v>80</v>
      </c>
      <c r="G194" s="9">
        <f t="shared" si="18"/>
        <v>0</v>
      </c>
      <c r="H194" s="9">
        <f t="shared" si="19"/>
        <v>80</v>
      </c>
      <c r="I194" s="9">
        <f t="shared" si="20"/>
        <v>0</v>
      </c>
      <c r="J194" s="9">
        <f t="shared" si="21"/>
        <v>0</v>
      </c>
      <c r="K194" s="1">
        <f t="shared" si="23"/>
        <v>80</v>
      </c>
      <c r="L194" s="1"/>
      <c r="M194" s="3"/>
      <c r="N194" s="3"/>
      <c r="O194" s="3"/>
      <c r="P194" s="3"/>
      <c r="Q194" s="3"/>
      <c r="R194" s="1"/>
    </row>
    <row r="195" spans="2:18" x14ac:dyDescent="0.2">
      <c r="B195">
        <v>183</v>
      </c>
      <c r="C195" s="1">
        <v>-0.92713656830277491</v>
      </c>
      <c r="D195" s="1">
        <f t="shared" si="16"/>
        <v>50.344442967819425</v>
      </c>
      <c r="E195" s="18">
        <f t="shared" si="17"/>
        <v>29.655557032180575</v>
      </c>
      <c r="F195" s="1">
        <f t="shared" si="22"/>
        <v>80</v>
      </c>
      <c r="G195" s="9">
        <f t="shared" si="18"/>
        <v>0</v>
      </c>
      <c r="H195" s="9">
        <f t="shared" si="19"/>
        <v>80</v>
      </c>
      <c r="I195" s="9">
        <f t="shared" si="20"/>
        <v>0</v>
      </c>
      <c r="J195" s="9">
        <f t="shared" si="21"/>
        <v>0</v>
      </c>
      <c r="K195" s="1">
        <f t="shared" si="23"/>
        <v>80</v>
      </c>
      <c r="L195" s="1"/>
      <c r="M195" s="3"/>
      <c r="N195" s="3"/>
      <c r="O195" s="3"/>
      <c r="P195" s="3"/>
      <c r="Q195" s="3"/>
      <c r="R195" s="1"/>
    </row>
    <row r="196" spans="2:18" x14ac:dyDescent="0.2">
      <c r="B196">
        <v>184</v>
      </c>
      <c r="C196" s="1">
        <v>-0.92292571360044628</v>
      </c>
      <c r="D196" s="1">
        <f t="shared" si="16"/>
        <v>50.471799664881743</v>
      </c>
      <c r="E196" s="18">
        <f t="shared" si="17"/>
        <v>29.528200335118257</v>
      </c>
      <c r="F196" s="1">
        <f t="shared" si="22"/>
        <v>80</v>
      </c>
      <c r="G196" s="9">
        <f t="shared" si="18"/>
        <v>0</v>
      </c>
      <c r="H196" s="9">
        <f t="shared" si="19"/>
        <v>80</v>
      </c>
      <c r="I196" s="9">
        <f t="shared" si="20"/>
        <v>0</v>
      </c>
      <c r="J196" s="9">
        <f t="shared" si="21"/>
        <v>0</v>
      </c>
      <c r="K196" s="1">
        <f t="shared" si="23"/>
        <v>80</v>
      </c>
      <c r="L196" s="1"/>
      <c r="M196" s="3"/>
      <c r="N196" s="3"/>
      <c r="O196" s="3"/>
      <c r="P196" s="3"/>
      <c r="Q196" s="3"/>
      <c r="R196" s="1"/>
    </row>
    <row r="197" spans="2:18" x14ac:dyDescent="0.2">
      <c r="B197">
        <v>185</v>
      </c>
      <c r="C197" s="1">
        <v>-0.92000035469594965</v>
      </c>
      <c r="D197" s="1">
        <f t="shared" si="16"/>
        <v>50.560466333812428</v>
      </c>
      <c r="E197" s="18">
        <f t="shared" si="17"/>
        <v>29.439533666187572</v>
      </c>
      <c r="F197" s="1">
        <f t="shared" si="22"/>
        <v>80</v>
      </c>
      <c r="G197" s="9">
        <f t="shared" si="18"/>
        <v>0</v>
      </c>
      <c r="H197" s="9">
        <f t="shared" si="19"/>
        <v>80</v>
      </c>
      <c r="I197" s="9">
        <f t="shared" si="20"/>
        <v>0</v>
      </c>
      <c r="J197" s="9">
        <f t="shared" si="21"/>
        <v>0</v>
      </c>
      <c r="K197" s="1">
        <f t="shared" si="23"/>
        <v>80</v>
      </c>
      <c r="L197" s="1"/>
      <c r="M197" s="3"/>
      <c r="N197" s="3"/>
      <c r="O197" s="3"/>
      <c r="P197" s="3"/>
      <c r="Q197" s="3"/>
      <c r="R197" s="1"/>
    </row>
    <row r="198" spans="2:18" x14ac:dyDescent="0.2">
      <c r="B198">
        <v>186</v>
      </c>
      <c r="C198" s="1">
        <v>-0.90887013899631686</v>
      </c>
      <c r="D198" s="1">
        <f t="shared" si="16"/>
        <v>50.899245618412003</v>
      </c>
      <c r="E198" s="18">
        <f t="shared" si="17"/>
        <v>29.100754381587997</v>
      </c>
      <c r="F198" s="1">
        <f t="shared" si="22"/>
        <v>80</v>
      </c>
      <c r="G198" s="9">
        <f t="shared" si="18"/>
        <v>0</v>
      </c>
      <c r="H198" s="9">
        <f t="shared" si="19"/>
        <v>80</v>
      </c>
      <c r="I198" s="9">
        <f t="shared" si="20"/>
        <v>0</v>
      </c>
      <c r="J198" s="9">
        <f t="shared" si="21"/>
        <v>0</v>
      </c>
      <c r="K198" s="1">
        <f t="shared" si="23"/>
        <v>80</v>
      </c>
      <c r="L198" s="1"/>
      <c r="M198" s="3"/>
      <c r="N198" s="3"/>
      <c r="O198" s="3"/>
      <c r="P198" s="3"/>
      <c r="Q198" s="3"/>
      <c r="R198" s="1"/>
    </row>
    <row r="199" spans="2:18" x14ac:dyDescent="0.2">
      <c r="B199">
        <v>187</v>
      </c>
      <c r="C199" s="1">
        <v>-0.90375407247858186</v>
      </c>
      <c r="D199" s="1">
        <f t="shared" si="16"/>
        <v>51.055728023628241</v>
      </c>
      <c r="E199" s="18">
        <f t="shared" si="17"/>
        <v>28.944271976371759</v>
      </c>
      <c r="F199" s="1">
        <f t="shared" si="22"/>
        <v>80</v>
      </c>
      <c r="G199" s="9">
        <f t="shared" si="18"/>
        <v>0</v>
      </c>
      <c r="H199" s="9">
        <f t="shared" si="19"/>
        <v>80</v>
      </c>
      <c r="I199" s="9">
        <f t="shared" si="20"/>
        <v>0</v>
      </c>
      <c r="J199" s="9">
        <f t="shared" si="21"/>
        <v>0</v>
      </c>
      <c r="K199" s="1">
        <f t="shared" si="23"/>
        <v>80</v>
      </c>
      <c r="L199" s="1"/>
      <c r="M199" s="3"/>
      <c r="N199" s="3"/>
      <c r="O199" s="3"/>
      <c r="P199" s="3"/>
      <c r="Q199" s="3"/>
      <c r="R199" s="1"/>
    </row>
    <row r="200" spans="2:18" x14ac:dyDescent="0.2">
      <c r="B200">
        <v>188</v>
      </c>
      <c r="C200" s="1">
        <v>-0.89175204198682112</v>
      </c>
      <c r="D200" s="1">
        <f t="shared" si="16"/>
        <v>51.424718462110761</v>
      </c>
      <c r="E200" s="18">
        <f t="shared" si="17"/>
        <v>28.575281537889239</v>
      </c>
      <c r="F200" s="1">
        <f t="shared" si="22"/>
        <v>80</v>
      </c>
      <c r="G200" s="9">
        <f t="shared" si="18"/>
        <v>0</v>
      </c>
      <c r="H200" s="9">
        <f t="shared" si="19"/>
        <v>80</v>
      </c>
      <c r="I200" s="9">
        <f t="shared" si="20"/>
        <v>0</v>
      </c>
      <c r="J200" s="9">
        <f t="shared" si="21"/>
        <v>0</v>
      </c>
      <c r="K200" s="1">
        <f t="shared" si="23"/>
        <v>80</v>
      </c>
      <c r="L200" s="1"/>
      <c r="M200" s="3"/>
      <c r="N200" s="3"/>
      <c r="O200" s="3"/>
      <c r="P200" s="3"/>
      <c r="Q200" s="3"/>
      <c r="R200" s="1"/>
    </row>
    <row r="201" spans="2:18" x14ac:dyDescent="0.2">
      <c r="B201">
        <v>189</v>
      </c>
      <c r="C201" s="1">
        <v>-0.88966539822046509</v>
      </c>
      <c r="D201" s="1">
        <f t="shared" si="16"/>
        <v>51.489141823206417</v>
      </c>
      <c r="E201" s="18">
        <f t="shared" si="17"/>
        <v>28.510858176793583</v>
      </c>
      <c r="F201" s="1">
        <f t="shared" si="22"/>
        <v>80</v>
      </c>
      <c r="G201" s="9">
        <f t="shared" si="18"/>
        <v>0</v>
      </c>
      <c r="H201" s="9">
        <f t="shared" si="19"/>
        <v>80</v>
      </c>
      <c r="I201" s="9">
        <f t="shared" si="20"/>
        <v>0</v>
      </c>
      <c r="J201" s="9">
        <f t="shared" si="21"/>
        <v>0</v>
      </c>
      <c r="K201" s="1">
        <f t="shared" si="23"/>
        <v>80</v>
      </c>
      <c r="L201" s="1"/>
      <c r="M201" s="3"/>
      <c r="N201" s="3"/>
      <c r="O201" s="3"/>
      <c r="P201" s="3"/>
      <c r="Q201" s="3"/>
      <c r="R201" s="1"/>
    </row>
    <row r="202" spans="2:18" x14ac:dyDescent="0.2">
      <c r="B202">
        <v>190</v>
      </c>
      <c r="C202" s="1">
        <v>-0.88487033747268484</v>
      </c>
      <c r="D202" s="1">
        <f t="shared" si="16"/>
        <v>51.637491261985481</v>
      </c>
      <c r="E202" s="18">
        <f t="shared" si="17"/>
        <v>28.362508738014519</v>
      </c>
      <c r="F202" s="1">
        <f t="shared" si="22"/>
        <v>80</v>
      </c>
      <c r="G202" s="9">
        <f t="shared" si="18"/>
        <v>0</v>
      </c>
      <c r="H202" s="9">
        <f t="shared" si="19"/>
        <v>80</v>
      </c>
      <c r="I202" s="9">
        <f t="shared" si="20"/>
        <v>0</v>
      </c>
      <c r="J202" s="9">
        <f t="shared" si="21"/>
        <v>0</v>
      </c>
      <c r="K202" s="1">
        <f t="shared" si="23"/>
        <v>80</v>
      </c>
      <c r="L202" s="1"/>
      <c r="M202" s="3"/>
      <c r="N202" s="3"/>
      <c r="O202" s="3"/>
      <c r="P202" s="3"/>
      <c r="Q202" s="3"/>
      <c r="R202" s="1"/>
    </row>
    <row r="203" spans="2:18" x14ac:dyDescent="0.2">
      <c r="B203">
        <v>191</v>
      </c>
      <c r="C203" s="1">
        <v>-0.88419743755674851</v>
      </c>
      <c r="D203" s="1">
        <f t="shared" si="16"/>
        <v>51.658343589278623</v>
      </c>
      <c r="E203" s="18">
        <f t="shared" si="17"/>
        <v>28.341656410721377</v>
      </c>
      <c r="F203" s="1">
        <f t="shared" si="22"/>
        <v>80</v>
      </c>
      <c r="G203" s="9">
        <f t="shared" si="18"/>
        <v>0</v>
      </c>
      <c r="H203" s="9">
        <f t="shared" si="19"/>
        <v>80</v>
      </c>
      <c r="I203" s="9">
        <f t="shared" si="20"/>
        <v>0</v>
      </c>
      <c r="J203" s="9">
        <f t="shared" si="21"/>
        <v>0</v>
      </c>
      <c r="K203" s="1">
        <f t="shared" si="23"/>
        <v>80</v>
      </c>
      <c r="L203" s="1"/>
      <c r="M203" s="3"/>
      <c r="N203" s="3"/>
      <c r="O203" s="3"/>
      <c r="P203" s="3"/>
      <c r="Q203" s="3"/>
      <c r="R203" s="1"/>
    </row>
    <row r="204" spans="2:18" x14ac:dyDescent="0.2">
      <c r="B204">
        <v>192</v>
      </c>
      <c r="C204" s="1">
        <v>-0.87652844096260984</v>
      </c>
      <c r="D204" s="1">
        <f t="shared" si="16"/>
        <v>51.896591903191592</v>
      </c>
      <c r="E204" s="18">
        <f t="shared" si="17"/>
        <v>28.103408096808408</v>
      </c>
      <c r="F204" s="1">
        <f t="shared" si="22"/>
        <v>80</v>
      </c>
      <c r="G204" s="9">
        <f t="shared" si="18"/>
        <v>0</v>
      </c>
      <c r="H204" s="9">
        <f t="shared" si="19"/>
        <v>80</v>
      </c>
      <c r="I204" s="9">
        <f t="shared" si="20"/>
        <v>0</v>
      </c>
      <c r="J204" s="9">
        <f t="shared" si="21"/>
        <v>0</v>
      </c>
      <c r="K204" s="1">
        <f t="shared" si="23"/>
        <v>80</v>
      </c>
      <c r="L204" s="1"/>
      <c r="M204" s="3"/>
      <c r="N204" s="3"/>
      <c r="O204" s="3"/>
      <c r="P204" s="3"/>
      <c r="Q204" s="3"/>
      <c r="R204" s="1"/>
    </row>
    <row r="205" spans="2:18" x14ac:dyDescent="0.2">
      <c r="B205">
        <v>193</v>
      </c>
      <c r="C205" s="1">
        <v>-0.87471939310514457</v>
      </c>
      <c r="D205" s="1">
        <f t="shared" ref="D205:D268" si="24">a0*EXP((RR-0.5*sigma^2)*T+sigma*SQRT(T)*C205)</f>
        <v>51.952952536418294</v>
      </c>
      <c r="E205" s="18">
        <f t="shared" ref="E205:E268" si="25">IF(AND(D205&gt;=0, D205&lt;F), F-D205, IF(D205&gt;=F, $E$7, 0))</f>
        <v>28.047047463581706</v>
      </c>
      <c r="F205" s="1">
        <f t="shared" si="22"/>
        <v>80</v>
      </c>
      <c r="G205" s="9">
        <f t="shared" ref="G205:G268" si="26">IF(F205&lt;F,MIN(disc,F205),0)</f>
        <v>0</v>
      </c>
      <c r="H205" s="9">
        <f t="shared" ref="H205:H268" si="27">IF(F205&gt;=F,F,F205-G205)</f>
        <v>80</v>
      </c>
      <c r="I205" s="9">
        <f t="shared" ref="I205:I268" si="28">(1-tax)*(F205-G205-H205)</f>
        <v>0</v>
      </c>
      <c r="J205" s="9">
        <f t="shared" ref="J205:J268" si="29">tax*(F205-G205-H205)</f>
        <v>0</v>
      </c>
      <c r="K205" s="1">
        <f t="shared" si="23"/>
        <v>80</v>
      </c>
      <c r="L205" s="1"/>
      <c r="M205" s="3"/>
      <c r="N205" s="3"/>
      <c r="O205" s="3"/>
      <c r="P205" s="3"/>
      <c r="Q205" s="3"/>
      <c r="R205" s="1"/>
    </row>
    <row r="206" spans="2:18" x14ac:dyDescent="0.2">
      <c r="B206">
        <v>194</v>
      </c>
      <c r="C206" s="1">
        <v>-0.8744750944269406</v>
      </c>
      <c r="D206" s="1">
        <f t="shared" si="24"/>
        <v>51.960568317142275</v>
      </c>
      <c r="E206" s="18">
        <f t="shared" si="25"/>
        <v>28.039431682857725</v>
      </c>
      <c r="F206" s="1">
        <f t="shared" ref="F206:F269" si="30">D206+E206</f>
        <v>80</v>
      </c>
      <c r="G206" s="9">
        <f t="shared" si="26"/>
        <v>0</v>
      </c>
      <c r="H206" s="9">
        <f t="shared" si="27"/>
        <v>80</v>
      </c>
      <c r="I206" s="9">
        <f t="shared" si="28"/>
        <v>0</v>
      </c>
      <c r="J206" s="9">
        <f t="shared" si="29"/>
        <v>0</v>
      </c>
      <c r="K206" s="1">
        <f t="shared" ref="K206:K269" si="31">SUM(G206:J206)</f>
        <v>80</v>
      </c>
      <c r="L206" s="1"/>
      <c r="M206" s="3"/>
      <c r="N206" s="3"/>
      <c r="O206" s="3"/>
      <c r="P206" s="3"/>
      <c r="Q206" s="3"/>
      <c r="R206" s="1"/>
    </row>
    <row r="207" spans="2:18" x14ac:dyDescent="0.2">
      <c r="B207">
        <v>195</v>
      </c>
      <c r="C207" s="1">
        <v>-0.87002258876622451</v>
      </c>
      <c r="D207" s="1">
        <f t="shared" si="24"/>
        <v>52.099566736588265</v>
      </c>
      <c r="E207" s="18">
        <f t="shared" si="25"/>
        <v>27.900433263411735</v>
      </c>
      <c r="F207" s="1">
        <f t="shared" si="30"/>
        <v>80</v>
      </c>
      <c r="G207" s="9">
        <f t="shared" si="26"/>
        <v>0</v>
      </c>
      <c r="H207" s="9">
        <f t="shared" si="27"/>
        <v>80</v>
      </c>
      <c r="I207" s="9">
        <f t="shared" si="28"/>
        <v>0</v>
      </c>
      <c r="J207" s="9">
        <f t="shared" si="29"/>
        <v>0</v>
      </c>
      <c r="K207" s="1">
        <f t="shared" si="31"/>
        <v>80</v>
      </c>
      <c r="L207" s="1"/>
      <c r="M207" s="3"/>
      <c r="N207" s="3"/>
      <c r="O207" s="3"/>
      <c r="P207" s="3"/>
      <c r="Q207" s="3"/>
      <c r="R207" s="1"/>
    </row>
    <row r="208" spans="2:18" x14ac:dyDescent="0.2">
      <c r="B208">
        <v>196</v>
      </c>
      <c r="C208" s="1">
        <v>-0.86464467833970626</v>
      </c>
      <c r="D208" s="1">
        <f t="shared" si="24"/>
        <v>52.267950337968507</v>
      </c>
      <c r="E208" s="18">
        <f t="shared" si="25"/>
        <v>27.732049662031493</v>
      </c>
      <c r="F208" s="1">
        <f t="shared" si="30"/>
        <v>80</v>
      </c>
      <c r="G208" s="9">
        <f t="shared" si="26"/>
        <v>0</v>
      </c>
      <c r="H208" s="9">
        <f t="shared" si="27"/>
        <v>80</v>
      </c>
      <c r="I208" s="9">
        <f t="shared" si="28"/>
        <v>0</v>
      </c>
      <c r="J208" s="9">
        <f t="shared" si="29"/>
        <v>0</v>
      </c>
      <c r="K208" s="1">
        <f t="shared" si="31"/>
        <v>80</v>
      </c>
      <c r="L208" s="1"/>
      <c r="M208" s="3"/>
      <c r="N208" s="3"/>
      <c r="O208" s="3"/>
      <c r="P208" s="3"/>
      <c r="Q208" s="3"/>
      <c r="R208" s="1"/>
    </row>
    <row r="209" spans="2:18" x14ac:dyDescent="0.2">
      <c r="B209">
        <v>197</v>
      </c>
      <c r="C209" s="1">
        <v>-0.86430649843737928</v>
      </c>
      <c r="D209" s="1">
        <f t="shared" si="24"/>
        <v>52.278556996223777</v>
      </c>
      <c r="E209" s="18">
        <f t="shared" si="25"/>
        <v>27.721443003776223</v>
      </c>
      <c r="F209" s="1">
        <f t="shared" si="30"/>
        <v>80</v>
      </c>
      <c r="G209" s="9">
        <f t="shared" si="26"/>
        <v>0</v>
      </c>
      <c r="H209" s="9">
        <f t="shared" si="27"/>
        <v>80</v>
      </c>
      <c r="I209" s="9">
        <f t="shared" si="28"/>
        <v>0</v>
      </c>
      <c r="J209" s="9">
        <f t="shared" si="29"/>
        <v>0</v>
      </c>
      <c r="K209" s="1">
        <f t="shared" si="31"/>
        <v>80</v>
      </c>
      <c r="L209" s="1"/>
      <c r="M209" s="3"/>
      <c r="N209" s="3"/>
      <c r="O209" s="3"/>
      <c r="P209" s="3"/>
      <c r="Q209" s="3"/>
      <c r="R209" s="1"/>
    </row>
    <row r="210" spans="2:18" x14ac:dyDescent="0.2">
      <c r="B210">
        <v>198</v>
      </c>
      <c r="C210" s="1">
        <v>-0.86406210392554195</v>
      </c>
      <c r="D210" s="1">
        <f t="shared" si="24"/>
        <v>52.286223513756482</v>
      </c>
      <c r="E210" s="18">
        <f t="shared" si="25"/>
        <v>27.713776486243518</v>
      </c>
      <c r="F210" s="1">
        <f t="shared" si="30"/>
        <v>80</v>
      </c>
      <c r="G210" s="9">
        <f t="shared" si="26"/>
        <v>0</v>
      </c>
      <c r="H210" s="9">
        <f t="shared" si="27"/>
        <v>80</v>
      </c>
      <c r="I210" s="9">
        <f t="shared" si="28"/>
        <v>0</v>
      </c>
      <c r="J210" s="9">
        <f t="shared" si="29"/>
        <v>0</v>
      </c>
      <c r="K210" s="1">
        <f t="shared" si="31"/>
        <v>80</v>
      </c>
      <c r="L210" s="1"/>
      <c r="M210" s="3"/>
      <c r="N210" s="3"/>
      <c r="O210" s="3"/>
      <c r="P210" s="3"/>
      <c r="Q210" s="3"/>
      <c r="R210" s="1"/>
    </row>
    <row r="211" spans="2:18" x14ac:dyDescent="0.2">
      <c r="B211">
        <v>199</v>
      </c>
      <c r="C211" s="1">
        <v>-0.86086717317669359</v>
      </c>
      <c r="D211" s="1">
        <f t="shared" si="24"/>
        <v>52.386550161988865</v>
      </c>
      <c r="E211" s="18">
        <f t="shared" si="25"/>
        <v>27.613449838011135</v>
      </c>
      <c r="F211" s="1">
        <f t="shared" si="30"/>
        <v>80</v>
      </c>
      <c r="G211" s="9">
        <f t="shared" si="26"/>
        <v>0</v>
      </c>
      <c r="H211" s="9">
        <f t="shared" si="27"/>
        <v>80</v>
      </c>
      <c r="I211" s="9">
        <f t="shared" si="28"/>
        <v>0</v>
      </c>
      <c r="J211" s="9">
        <f t="shared" si="29"/>
        <v>0</v>
      </c>
      <c r="K211" s="1">
        <f t="shared" si="31"/>
        <v>80</v>
      </c>
      <c r="L211" s="1"/>
      <c r="M211" s="3"/>
      <c r="N211" s="3"/>
      <c r="O211" s="3"/>
      <c r="P211" s="3"/>
      <c r="Q211" s="3"/>
      <c r="R211" s="1"/>
    </row>
    <row r="212" spans="2:18" x14ac:dyDescent="0.2">
      <c r="B212">
        <v>200</v>
      </c>
      <c r="C212" s="1">
        <v>-0.85954525292711814</v>
      </c>
      <c r="D212" s="1">
        <f t="shared" si="24"/>
        <v>52.428117149161089</v>
      </c>
      <c r="E212" s="18">
        <f t="shared" si="25"/>
        <v>27.571882850838911</v>
      </c>
      <c r="F212" s="1">
        <f t="shared" si="30"/>
        <v>80</v>
      </c>
      <c r="G212" s="9">
        <f t="shared" si="26"/>
        <v>0</v>
      </c>
      <c r="H212" s="9">
        <f t="shared" si="27"/>
        <v>80</v>
      </c>
      <c r="I212" s="9">
        <f t="shared" si="28"/>
        <v>0</v>
      </c>
      <c r="J212" s="9">
        <f t="shared" si="29"/>
        <v>0</v>
      </c>
      <c r="K212" s="1">
        <f t="shared" si="31"/>
        <v>80</v>
      </c>
      <c r="L212" s="1"/>
      <c r="M212" s="3"/>
      <c r="N212" s="3"/>
      <c r="O212" s="3"/>
      <c r="P212" s="3"/>
      <c r="Q212" s="3"/>
      <c r="R212" s="1"/>
    </row>
    <row r="213" spans="2:18" x14ac:dyDescent="0.2">
      <c r="B213">
        <v>201</v>
      </c>
      <c r="C213" s="1">
        <v>-0.85638438297319353</v>
      </c>
      <c r="D213" s="1">
        <f t="shared" si="24"/>
        <v>52.527642571547794</v>
      </c>
      <c r="E213" s="18">
        <f t="shared" si="25"/>
        <v>27.472357428452206</v>
      </c>
      <c r="F213" s="1">
        <f t="shared" si="30"/>
        <v>80</v>
      </c>
      <c r="G213" s="9">
        <f t="shared" si="26"/>
        <v>0</v>
      </c>
      <c r="H213" s="9">
        <f t="shared" si="27"/>
        <v>80</v>
      </c>
      <c r="I213" s="9">
        <f t="shared" si="28"/>
        <v>0</v>
      </c>
      <c r="J213" s="9">
        <f t="shared" si="29"/>
        <v>0</v>
      </c>
      <c r="K213" s="1">
        <f t="shared" si="31"/>
        <v>80</v>
      </c>
      <c r="L213" s="1"/>
      <c r="M213" s="3"/>
      <c r="N213" s="3"/>
      <c r="O213" s="3"/>
      <c r="P213" s="3"/>
      <c r="Q213" s="3"/>
      <c r="R213" s="1"/>
    </row>
    <row r="214" spans="2:18" x14ac:dyDescent="0.2">
      <c r="B214">
        <v>202</v>
      </c>
      <c r="C214" s="1">
        <v>-0.85360339571040245</v>
      </c>
      <c r="D214" s="1">
        <f t="shared" si="24"/>
        <v>52.615362958940757</v>
      </c>
      <c r="E214" s="18">
        <f t="shared" si="25"/>
        <v>27.384637041059243</v>
      </c>
      <c r="F214" s="1">
        <f t="shared" si="30"/>
        <v>80</v>
      </c>
      <c r="G214" s="9">
        <f t="shared" si="26"/>
        <v>0</v>
      </c>
      <c r="H214" s="9">
        <f t="shared" si="27"/>
        <v>80</v>
      </c>
      <c r="I214" s="9">
        <f t="shared" si="28"/>
        <v>0</v>
      </c>
      <c r="J214" s="9">
        <f t="shared" si="29"/>
        <v>0</v>
      </c>
      <c r="K214" s="1">
        <f t="shared" si="31"/>
        <v>80</v>
      </c>
      <c r="L214" s="1"/>
      <c r="M214" s="3"/>
      <c r="N214" s="3"/>
      <c r="O214" s="3"/>
      <c r="P214" s="3"/>
      <c r="Q214" s="3"/>
      <c r="R214" s="1"/>
    </row>
    <row r="215" spans="2:18" x14ac:dyDescent="0.2">
      <c r="B215">
        <v>203</v>
      </c>
      <c r="C215" s="1">
        <v>-0.85266175749777728</v>
      </c>
      <c r="D215" s="1">
        <f t="shared" si="24"/>
        <v>52.645098139884553</v>
      </c>
      <c r="E215" s="18">
        <f t="shared" si="25"/>
        <v>27.354901860115447</v>
      </c>
      <c r="F215" s="1">
        <f t="shared" si="30"/>
        <v>80</v>
      </c>
      <c r="G215" s="9">
        <f t="shared" si="26"/>
        <v>0</v>
      </c>
      <c r="H215" s="9">
        <f t="shared" si="27"/>
        <v>80</v>
      </c>
      <c r="I215" s="9">
        <f t="shared" si="28"/>
        <v>0</v>
      </c>
      <c r="J215" s="9">
        <f t="shared" si="29"/>
        <v>0</v>
      </c>
      <c r="K215" s="1">
        <f t="shared" si="31"/>
        <v>80</v>
      </c>
      <c r="L215" s="1"/>
      <c r="M215" s="3"/>
      <c r="N215" s="3"/>
      <c r="O215" s="3"/>
      <c r="P215" s="3"/>
      <c r="Q215" s="3"/>
      <c r="R215" s="1"/>
    </row>
    <row r="216" spans="2:18" x14ac:dyDescent="0.2">
      <c r="B216">
        <v>204</v>
      </c>
      <c r="C216" s="1">
        <v>-0.84511357527825848</v>
      </c>
      <c r="D216" s="1">
        <f t="shared" si="24"/>
        <v>52.884063734422462</v>
      </c>
      <c r="E216" s="18">
        <f t="shared" si="25"/>
        <v>27.115936265577538</v>
      </c>
      <c r="F216" s="1">
        <f t="shared" si="30"/>
        <v>80</v>
      </c>
      <c r="G216" s="9">
        <f t="shared" si="26"/>
        <v>0</v>
      </c>
      <c r="H216" s="9">
        <f t="shared" si="27"/>
        <v>80</v>
      </c>
      <c r="I216" s="9">
        <f t="shared" si="28"/>
        <v>0</v>
      </c>
      <c r="J216" s="9">
        <f t="shared" si="29"/>
        <v>0</v>
      </c>
      <c r="K216" s="1">
        <f t="shared" si="31"/>
        <v>80</v>
      </c>
      <c r="L216" s="1"/>
      <c r="M216" s="3"/>
      <c r="N216" s="3"/>
      <c r="O216" s="3"/>
      <c r="P216" s="3"/>
      <c r="Q216" s="3"/>
      <c r="R216" s="1"/>
    </row>
    <row r="217" spans="2:18" x14ac:dyDescent="0.2">
      <c r="B217">
        <v>205</v>
      </c>
      <c r="C217" s="1">
        <v>-0.84120814499231844</v>
      </c>
      <c r="D217" s="1">
        <f t="shared" si="24"/>
        <v>53.008130051850507</v>
      </c>
      <c r="E217" s="18">
        <f t="shared" si="25"/>
        <v>26.991869948149493</v>
      </c>
      <c r="F217" s="1">
        <f t="shared" si="30"/>
        <v>80</v>
      </c>
      <c r="G217" s="9">
        <f t="shared" si="26"/>
        <v>0</v>
      </c>
      <c r="H217" s="9">
        <f t="shared" si="27"/>
        <v>80</v>
      </c>
      <c r="I217" s="9">
        <f t="shared" si="28"/>
        <v>0</v>
      </c>
      <c r="J217" s="9">
        <f t="shared" si="29"/>
        <v>0</v>
      </c>
      <c r="K217" s="1">
        <f t="shared" si="31"/>
        <v>80</v>
      </c>
      <c r="L217" s="1"/>
      <c r="M217" s="3"/>
      <c r="N217" s="3"/>
      <c r="O217" s="3"/>
      <c r="P217" s="3"/>
      <c r="Q217" s="3"/>
      <c r="R217" s="1"/>
    </row>
    <row r="218" spans="2:18" x14ac:dyDescent="0.2">
      <c r="B218">
        <v>206</v>
      </c>
      <c r="C218" s="1">
        <v>-0.83849546415748599</v>
      </c>
      <c r="D218" s="1">
        <f t="shared" si="24"/>
        <v>53.094476785216486</v>
      </c>
      <c r="E218" s="18">
        <f t="shared" si="25"/>
        <v>26.905523214783514</v>
      </c>
      <c r="F218" s="1">
        <f t="shared" si="30"/>
        <v>80</v>
      </c>
      <c r="G218" s="9">
        <f t="shared" si="26"/>
        <v>0</v>
      </c>
      <c r="H218" s="9">
        <f t="shared" si="27"/>
        <v>80</v>
      </c>
      <c r="I218" s="9">
        <f t="shared" si="28"/>
        <v>0</v>
      </c>
      <c r="J218" s="9">
        <f t="shared" si="29"/>
        <v>0</v>
      </c>
      <c r="K218" s="1">
        <f t="shared" si="31"/>
        <v>80</v>
      </c>
      <c r="L218" s="1"/>
      <c r="M218" s="3"/>
      <c r="N218" s="3"/>
      <c r="O218" s="3"/>
      <c r="P218" s="3"/>
      <c r="Q218" s="3"/>
      <c r="R218" s="1"/>
    </row>
    <row r="219" spans="2:18" x14ac:dyDescent="0.2">
      <c r="B219">
        <v>207</v>
      </c>
      <c r="C219" s="1">
        <v>-0.83847347038126063</v>
      </c>
      <c r="D219" s="1">
        <f t="shared" si="24"/>
        <v>53.095177438664209</v>
      </c>
      <c r="E219" s="18">
        <f t="shared" si="25"/>
        <v>26.904822561335791</v>
      </c>
      <c r="F219" s="1">
        <f t="shared" si="30"/>
        <v>80</v>
      </c>
      <c r="G219" s="9">
        <f t="shared" si="26"/>
        <v>0</v>
      </c>
      <c r="H219" s="9">
        <f t="shared" si="27"/>
        <v>80</v>
      </c>
      <c r="I219" s="9">
        <f t="shared" si="28"/>
        <v>0</v>
      </c>
      <c r="J219" s="9">
        <f t="shared" si="29"/>
        <v>0</v>
      </c>
      <c r="K219" s="1">
        <f t="shared" si="31"/>
        <v>80</v>
      </c>
      <c r="L219" s="1"/>
      <c r="M219" s="3"/>
      <c r="N219" s="3"/>
      <c r="O219" s="3"/>
      <c r="P219" s="3"/>
      <c r="Q219" s="3"/>
      <c r="R219" s="1"/>
    </row>
    <row r="220" spans="2:18" x14ac:dyDescent="0.2">
      <c r="B220">
        <v>208</v>
      </c>
      <c r="C220" s="1">
        <v>-0.83662319967064036</v>
      </c>
      <c r="D220" s="1">
        <f t="shared" si="24"/>
        <v>53.154154440646764</v>
      </c>
      <c r="E220" s="18">
        <f t="shared" si="25"/>
        <v>26.845845559353236</v>
      </c>
      <c r="F220" s="1">
        <f t="shared" si="30"/>
        <v>80</v>
      </c>
      <c r="G220" s="9">
        <f t="shared" si="26"/>
        <v>0</v>
      </c>
      <c r="H220" s="9">
        <f t="shared" si="27"/>
        <v>80</v>
      </c>
      <c r="I220" s="9">
        <f t="shared" si="28"/>
        <v>0</v>
      </c>
      <c r="J220" s="9">
        <f t="shared" si="29"/>
        <v>0</v>
      </c>
      <c r="K220" s="1">
        <f t="shared" si="31"/>
        <v>80</v>
      </c>
      <c r="L220" s="1"/>
      <c r="M220" s="3"/>
      <c r="N220" s="3"/>
      <c r="O220" s="3"/>
      <c r="P220" s="3"/>
      <c r="Q220" s="3"/>
      <c r="R220" s="1"/>
    </row>
    <row r="221" spans="2:18" x14ac:dyDescent="0.2">
      <c r="B221">
        <v>209</v>
      </c>
      <c r="C221" s="1">
        <v>-0.836522727067738</v>
      </c>
      <c r="D221" s="1">
        <f t="shared" si="24"/>
        <v>53.157358858983692</v>
      </c>
      <c r="E221" s="18">
        <f t="shared" si="25"/>
        <v>26.842641141016308</v>
      </c>
      <c r="F221" s="1">
        <f t="shared" si="30"/>
        <v>80</v>
      </c>
      <c r="G221" s="9">
        <f t="shared" si="26"/>
        <v>0</v>
      </c>
      <c r="H221" s="9">
        <f t="shared" si="27"/>
        <v>80</v>
      </c>
      <c r="I221" s="9">
        <f t="shared" si="28"/>
        <v>0</v>
      </c>
      <c r="J221" s="9">
        <f t="shared" si="29"/>
        <v>0</v>
      </c>
      <c r="K221" s="1">
        <f t="shared" si="31"/>
        <v>80</v>
      </c>
      <c r="L221" s="1"/>
      <c r="M221" s="3"/>
      <c r="N221" s="3"/>
      <c r="O221" s="3"/>
      <c r="P221" s="3"/>
      <c r="Q221" s="3"/>
      <c r="R221" s="1"/>
    </row>
    <row r="222" spans="2:18" x14ac:dyDescent="0.2">
      <c r="B222">
        <v>210</v>
      </c>
      <c r="C222" s="1">
        <v>-0.83504167699617116</v>
      </c>
      <c r="D222" s="1">
        <f t="shared" si="24"/>
        <v>53.204617079496565</v>
      </c>
      <c r="E222" s="18">
        <f t="shared" si="25"/>
        <v>26.795382920503435</v>
      </c>
      <c r="F222" s="1">
        <f t="shared" si="30"/>
        <v>80</v>
      </c>
      <c r="G222" s="9">
        <f t="shared" si="26"/>
        <v>0</v>
      </c>
      <c r="H222" s="9">
        <f t="shared" si="27"/>
        <v>80</v>
      </c>
      <c r="I222" s="9">
        <f t="shared" si="28"/>
        <v>0</v>
      </c>
      <c r="J222" s="9">
        <f t="shared" si="29"/>
        <v>0</v>
      </c>
      <c r="K222" s="1">
        <f t="shared" si="31"/>
        <v>80</v>
      </c>
      <c r="L222" s="1"/>
      <c r="M222" s="3"/>
      <c r="N222" s="3"/>
      <c r="O222" s="3"/>
      <c r="P222" s="3"/>
      <c r="Q222" s="3"/>
      <c r="R222" s="1"/>
    </row>
    <row r="223" spans="2:18" x14ac:dyDescent="0.2">
      <c r="B223">
        <v>211</v>
      </c>
      <c r="C223" s="1">
        <v>-0.82930277047262535</v>
      </c>
      <c r="D223" s="1">
        <f t="shared" si="24"/>
        <v>53.388134649650119</v>
      </c>
      <c r="E223" s="18">
        <f t="shared" si="25"/>
        <v>26.611865350349881</v>
      </c>
      <c r="F223" s="1">
        <f t="shared" si="30"/>
        <v>80</v>
      </c>
      <c r="G223" s="9">
        <f t="shared" si="26"/>
        <v>0</v>
      </c>
      <c r="H223" s="9">
        <f t="shared" si="27"/>
        <v>80</v>
      </c>
      <c r="I223" s="9">
        <f t="shared" si="28"/>
        <v>0</v>
      </c>
      <c r="J223" s="9">
        <f t="shared" si="29"/>
        <v>0</v>
      </c>
      <c r="K223" s="1">
        <f t="shared" si="31"/>
        <v>80</v>
      </c>
      <c r="L223" s="1"/>
      <c r="M223" s="3"/>
      <c r="N223" s="3"/>
      <c r="O223" s="3"/>
      <c r="P223" s="3"/>
      <c r="Q223" s="3"/>
      <c r="R223" s="1"/>
    </row>
    <row r="224" spans="2:18" x14ac:dyDescent="0.2">
      <c r="B224">
        <v>212</v>
      </c>
      <c r="C224" s="1">
        <v>-0.82740082540225302</v>
      </c>
      <c r="D224" s="1">
        <f t="shared" si="24"/>
        <v>53.449094205260529</v>
      </c>
      <c r="E224" s="18">
        <f t="shared" si="25"/>
        <v>26.550905794739471</v>
      </c>
      <c r="F224" s="1">
        <f t="shared" si="30"/>
        <v>80</v>
      </c>
      <c r="G224" s="9">
        <f t="shared" si="26"/>
        <v>0</v>
      </c>
      <c r="H224" s="9">
        <f t="shared" si="27"/>
        <v>80</v>
      </c>
      <c r="I224" s="9">
        <f t="shared" si="28"/>
        <v>0</v>
      </c>
      <c r="J224" s="9">
        <f t="shared" si="29"/>
        <v>0</v>
      </c>
      <c r="K224" s="1">
        <f t="shared" si="31"/>
        <v>80</v>
      </c>
      <c r="L224" s="1"/>
      <c r="M224" s="3"/>
      <c r="N224" s="3"/>
      <c r="O224" s="3"/>
      <c r="P224" s="3"/>
      <c r="Q224" s="3"/>
      <c r="R224" s="1"/>
    </row>
    <row r="225" spans="2:18" x14ac:dyDescent="0.2">
      <c r="B225">
        <v>213</v>
      </c>
      <c r="C225" s="1">
        <v>-0.82371096670842747</v>
      </c>
      <c r="D225" s="1">
        <f t="shared" si="24"/>
        <v>53.567557053183201</v>
      </c>
      <c r="E225" s="18">
        <f t="shared" si="25"/>
        <v>26.432442946816799</v>
      </c>
      <c r="F225" s="1">
        <f t="shared" si="30"/>
        <v>80</v>
      </c>
      <c r="G225" s="9">
        <f t="shared" si="26"/>
        <v>0</v>
      </c>
      <c r="H225" s="9">
        <f t="shared" si="27"/>
        <v>80</v>
      </c>
      <c r="I225" s="9">
        <f t="shared" si="28"/>
        <v>0</v>
      </c>
      <c r="J225" s="9">
        <f t="shared" si="29"/>
        <v>0</v>
      </c>
      <c r="K225" s="1">
        <f t="shared" si="31"/>
        <v>80</v>
      </c>
      <c r="L225" s="1"/>
      <c r="M225" s="3"/>
      <c r="N225" s="3"/>
      <c r="O225" s="3"/>
      <c r="P225" s="3"/>
      <c r="Q225" s="3"/>
      <c r="R225" s="1"/>
    </row>
    <row r="226" spans="2:18" x14ac:dyDescent="0.2">
      <c r="B226">
        <v>214</v>
      </c>
      <c r="C226" s="1">
        <v>-0.82054289652089363</v>
      </c>
      <c r="D226" s="1">
        <f t="shared" si="24"/>
        <v>53.669477358010283</v>
      </c>
      <c r="E226" s="18">
        <f t="shared" si="25"/>
        <v>26.330522641989717</v>
      </c>
      <c r="F226" s="1">
        <f t="shared" si="30"/>
        <v>80</v>
      </c>
      <c r="G226" s="9">
        <f t="shared" si="26"/>
        <v>0</v>
      </c>
      <c r="H226" s="9">
        <f t="shared" si="27"/>
        <v>80</v>
      </c>
      <c r="I226" s="9">
        <f t="shared" si="28"/>
        <v>0</v>
      </c>
      <c r="J226" s="9">
        <f t="shared" si="29"/>
        <v>0</v>
      </c>
      <c r="K226" s="1">
        <f t="shared" si="31"/>
        <v>80</v>
      </c>
      <c r="L226" s="1"/>
      <c r="M226" s="3"/>
      <c r="N226" s="3"/>
      <c r="O226" s="3"/>
      <c r="P226" s="3"/>
      <c r="Q226" s="3"/>
      <c r="R226" s="1"/>
    </row>
    <row r="227" spans="2:18" x14ac:dyDescent="0.2">
      <c r="B227">
        <v>215</v>
      </c>
      <c r="C227" s="1">
        <v>-0.81373394945753441</v>
      </c>
      <c r="D227" s="1">
        <f t="shared" si="24"/>
        <v>53.88918542475686</v>
      </c>
      <c r="E227" s="18">
        <f t="shared" si="25"/>
        <v>26.11081457524314</v>
      </c>
      <c r="F227" s="1">
        <f t="shared" si="30"/>
        <v>80</v>
      </c>
      <c r="G227" s="9">
        <f t="shared" si="26"/>
        <v>0</v>
      </c>
      <c r="H227" s="9">
        <f t="shared" si="27"/>
        <v>80</v>
      </c>
      <c r="I227" s="9">
        <f t="shared" si="28"/>
        <v>0</v>
      </c>
      <c r="J227" s="9">
        <f t="shared" si="29"/>
        <v>0</v>
      </c>
      <c r="K227" s="1">
        <f t="shared" si="31"/>
        <v>80</v>
      </c>
      <c r="L227" s="1"/>
      <c r="M227" s="3"/>
      <c r="N227" s="3"/>
      <c r="O227" s="3"/>
      <c r="P227" s="3"/>
      <c r="Q227" s="3"/>
      <c r="R227" s="1"/>
    </row>
    <row r="228" spans="2:18" x14ac:dyDescent="0.2">
      <c r="B228">
        <v>216</v>
      </c>
      <c r="C228" s="1">
        <v>-0.81358276104646454</v>
      </c>
      <c r="D228" s="1">
        <f t="shared" si="24"/>
        <v>53.894074098677692</v>
      </c>
      <c r="E228" s="18">
        <f t="shared" si="25"/>
        <v>26.105925901322308</v>
      </c>
      <c r="F228" s="1">
        <f t="shared" si="30"/>
        <v>80</v>
      </c>
      <c r="G228" s="9">
        <f t="shared" si="26"/>
        <v>0</v>
      </c>
      <c r="H228" s="9">
        <f t="shared" si="27"/>
        <v>80</v>
      </c>
      <c r="I228" s="9">
        <f t="shared" si="28"/>
        <v>0</v>
      </c>
      <c r="J228" s="9">
        <f t="shared" si="29"/>
        <v>0</v>
      </c>
      <c r="K228" s="1">
        <f t="shared" si="31"/>
        <v>80</v>
      </c>
      <c r="L228" s="1"/>
      <c r="M228" s="3"/>
      <c r="N228" s="3"/>
      <c r="O228" s="3"/>
      <c r="P228" s="3"/>
      <c r="Q228" s="3"/>
      <c r="R228" s="1"/>
    </row>
    <row r="229" spans="2:18" x14ac:dyDescent="0.2">
      <c r="B229">
        <v>217</v>
      </c>
      <c r="C229" s="1">
        <v>-0.79689211309723118</v>
      </c>
      <c r="D229" s="1">
        <f t="shared" si="24"/>
        <v>54.436501816859995</v>
      </c>
      <c r="E229" s="18">
        <f t="shared" si="25"/>
        <v>25.563498183140005</v>
      </c>
      <c r="F229" s="1">
        <f t="shared" si="30"/>
        <v>80</v>
      </c>
      <c r="G229" s="9">
        <f t="shared" si="26"/>
        <v>0</v>
      </c>
      <c r="H229" s="9">
        <f t="shared" si="27"/>
        <v>80</v>
      </c>
      <c r="I229" s="9">
        <f t="shared" si="28"/>
        <v>0</v>
      </c>
      <c r="J229" s="9">
        <f t="shared" si="29"/>
        <v>0</v>
      </c>
      <c r="K229" s="1">
        <f t="shared" si="31"/>
        <v>80</v>
      </c>
      <c r="L229" s="1"/>
      <c r="M229" s="3"/>
      <c r="N229" s="3"/>
      <c r="O229" s="3"/>
      <c r="P229" s="3"/>
      <c r="Q229" s="3"/>
      <c r="R229" s="1"/>
    </row>
    <row r="230" spans="2:18" x14ac:dyDescent="0.2">
      <c r="B230">
        <v>218</v>
      </c>
      <c r="C230" s="1">
        <v>-0.79086935058360086</v>
      </c>
      <c r="D230" s="1">
        <f t="shared" si="24"/>
        <v>54.633572548980524</v>
      </c>
      <c r="E230" s="18">
        <f t="shared" si="25"/>
        <v>25.366427451019476</v>
      </c>
      <c r="F230" s="1">
        <f t="shared" si="30"/>
        <v>80</v>
      </c>
      <c r="G230" s="9">
        <f t="shared" si="26"/>
        <v>0</v>
      </c>
      <c r="H230" s="9">
        <f t="shared" si="27"/>
        <v>80</v>
      </c>
      <c r="I230" s="9">
        <f t="shared" si="28"/>
        <v>0</v>
      </c>
      <c r="J230" s="9">
        <f t="shared" si="29"/>
        <v>0</v>
      </c>
      <c r="K230" s="1">
        <f t="shared" si="31"/>
        <v>80</v>
      </c>
      <c r="L230" s="1"/>
      <c r="M230" s="3"/>
      <c r="N230" s="3"/>
      <c r="O230" s="3"/>
      <c r="P230" s="3"/>
      <c r="Q230" s="3"/>
      <c r="R230" s="1"/>
    </row>
    <row r="231" spans="2:18" x14ac:dyDescent="0.2">
      <c r="B231">
        <v>219</v>
      </c>
      <c r="C231" s="1">
        <v>-0.78598865214032954</v>
      </c>
      <c r="D231" s="1">
        <f t="shared" si="24"/>
        <v>54.79379703218811</v>
      </c>
      <c r="E231" s="18">
        <f t="shared" si="25"/>
        <v>25.20620296781189</v>
      </c>
      <c r="F231" s="1">
        <f t="shared" si="30"/>
        <v>80</v>
      </c>
      <c r="G231" s="9">
        <f t="shared" si="26"/>
        <v>0</v>
      </c>
      <c r="H231" s="9">
        <f t="shared" si="27"/>
        <v>80</v>
      </c>
      <c r="I231" s="9">
        <f t="shared" si="28"/>
        <v>0</v>
      </c>
      <c r="J231" s="9">
        <f t="shared" si="29"/>
        <v>0</v>
      </c>
      <c r="K231" s="1">
        <f t="shared" si="31"/>
        <v>80</v>
      </c>
      <c r="L231" s="1"/>
      <c r="M231" s="3"/>
      <c r="N231" s="3"/>
      <c r="O231" s="3"/>
      <c r="P231" s="3"/>
      <c r="Q231" s="3"/>
      <c r="R231" s="1"/>
    </row>
    <row r="232" spans="2:18" x14ac:dyDescent="0.2">
      <c r="B232">
        <v>220</v>
      </c>
      <c r="C232" s="1">
        <v>-0.77776776745547116</v>
      </c>
      <c r="D232" s="1">
        <f t="shared" si="24"/>
        <v>55.06473678430703</v>
      </c>
      <c r="E232" s="18">
        <f t="shared" si="25"/>
        <v>24.93526321569297</v>
      </c>
      <c r="F232" s="1">
        <f t="shared" si="30"/>
        <v>80</v>
      </c>
      <c r="G232" s="9">
        <f t="shared" si="26"/>
        <v>0</v>
      </c>
      <c r="H232" s="9">
        <f t="shared" si="27"/>
        <v>80</v>
      </c>
      <c r="I232" s="9">
        <f t="shared" si="28"/>
        <v>0</v>
      </c>
      <c r="J232" s="9">
        <f t="shared" si="29"/>
        <v>0</v>
      </c>
      <c r="K232" s="1">
        <f t="shared" si="31"/>
        <v>80</v>
      </c>
      <c r="L232" s="1"/>
      <c r="M232" s="3"/>
      <c r="N232" s="3"/>
      <c r="O232" s="3"/>
      <c r="P232" s="3"/>
      <c r="Q232" s="3"/>
      <c r="R232" s="1"/>
    </row>
    <row r="233" spans="2:18" x14ac:dyDescent="0.2">
      <c r="B233">
        <v>221</v>
      </c>
      <c r="C233" s="1">
        <v>-0.77381077778668705</v>
      </c>
      <c r="D233" s="1">
        <f t="shared" si="24"/>
        <v>55.195626458292047</v>
      </c>
      <c r="E233" s="18">
        <f t="shared" si="25"/>
        <v>24.804373541707953</v>
      </c>
      <c r="F233" s="1">
        <f t="shared" si="30"/>
        <v>80</v>
      </c>
      <c r="G233" s="9">
        <f t="shared" si="26"/>
        <v>0</v>
      </c>
      <c r="H233" s="9">
        <f t="shared" si="27"/>
        <v>80</v>
      </c>
      <c r="I233" s="9">
        <f t="shared" si="28"/>
        <v>0</v>
      </c>
      <c r="J233" s="9">
        <f t="shared" si="29"/>
        <v>0</v>
      </c>
      <c r="K233" s="1">
        <f t="shared" si="31"/>
        <v>80</v>
      </c>
      <c r="L233" s="1"/>
      <c r="M233" s="3"/>
      <c r="N233" s="3"/>
      <c r="O233" s="3"/>
      <c r="P233" s="3"/>
      <c r="Q233" s="3"/>
      <c r="R233" s="1"/>
    </row>
    <row r="234" spans="2:18" x14ac:dyDescent="0.2">
      <c r="B234">
        <v>222</v>
      </c>
      <c r="C234" s="1">
        <v>-0.7736375336256387</v>
      </c>
      <c r="D234" s="1">
        <f t="shared" si="24"/>
        <v>55.201364148492857</v>
      </c>
      <c r="E234" s="18">
        <f t="shared" si="25"/>
        <v>24.798635851507143</v>
      </c>
      <c r="F234" s="1">
        <f t="shared" si="30"/>
        <v>80</v>
      </c>
      <c r="G234" s="9">
        <f t="shared" si="26"/>
        <v>0</v>
      </c>
      <c r="H234" s="9">
        <f t="shared" si="27"/>
        <v>80</v>
      </c>
      <c r="I234" s="9">
        <f t="shared" si="28"/>
        <v>0</v>
      </c>
      <c r="J234" s="9">
        <f t="shared" si="29"/>
        <v>0</v>
      </c>
      <c r="K234" s="1">
        <f t="shared" si="31"/>
        <v>80</v>
      </c>
      <c r="L234" s="1"/>
      <c r="M234" s="3"/>
      <c r="N234" s="3"/>
      <c r="O234" s="3"/>
      <c r="P234" s="3"/>
      <c r="Q234" s="3"/>
      <c r="R234" s="1"/>
    </row>
    <row r="235" spans="2:18" x14ac:dyDescent="0.2">
      <c r="B235">
        <v>223</v>
      </c>
      <c r="C235" s="1">
        <v>-0.76582051154912434</v>
      </c>
      <c r="D235" s="1">
        <f t="shared" si="24"/>
        <v>55.460878430741467</v>
      </c>
      <c r="E235" s="18">
        <f t="shared" si="25"/>
        <v>24.539121569258533</v>
      </c>
      <c r="F235" s="1">
        <f t="shared" si="30"/>
        <v>80</v>
      </c>
      <c r="G235" s="9">
        <f t="shared" si="26"/>
        <v>0</v>
      </c>
      <c r="H235" s="9">
        <f t="shared" si="27"/>
        <v>80</v>
      </c>
      <c r="I235" s="9">
        <f t="shared" si="28"/>
        <v>0</v>
      </c>
      <c r="J235" s="9">
        <f t="shared" si="29"/>
        <v>0</v>
      </c>
      <c r="K235" s="1">
        <f t="shared" si="31"/>
        <v>80</v>
      </c>
      <c r="L235" s="1"/>
      <c r="M235" s="3"/>
      <c r="N235" s="3"/>
      <c r="O235" s="3"/>
      <c r="P235" s="3"/>
      <c r="Q235" s="3"/>
      <c r="R235" s="1"/>
    </row>
    <row r="236" spans="2:18" x14ac:dyDescent="0.2">
      <c r="B236">
        <v>224</v>
      </c>
      <c r="C236" s="1">
        <v>-0.7584693018579739</v>
      </c>
      <c r="D236" s="1">
        <f t="shared" si="24"/>
        <v>55.706041434876695</v>
      </c>
      <c r="E236" s="18">
        <f t="shared" si="25"/>
        <v>24.293958565123305</v>
      </c>
      <c r="F236" s="1">
        <f t="shared" si="30"/>
        <v>80</v>
      </c>
      <c r="G236" s="9">
        <f t="shared" si="26"/>
        <v>0</v>
      </c>
      <c r="H236" s="9">
        <f t="shared" si="27"/>
        <v>80</v>
      </c>
      <c r="I236" s="9">
        <f t="shared" si="28"/>
        <v>0</v>
      </c>
      <c r="J236" s="9">
        <f t="shared" si="29"/>
        <v>0</v>
      </c>
      <c r="K236" s="1">
        <f t="shared" si="31"/>
        <v>80</v>
      </c>
      <c r="L236" s="1"/>
      <c r="M236" s="3"/>
      <c r="N236" s="3"/>
      <c r="O236" s="3"/>
      <c r="P236" s="3"/>
      <c r="Q236" s="3"/>
      <c r="R236" s="1"/>
    </row>
    <row r="237" spans="2:18" x14ac:dyDescent="0.2">
      <c r="B237">
        <v>225</v>
      </c>
      <c r="C237" s="1">
        <v>-0.7570844394770172</v>
      </c>
      <c r="D237" s="1">
        <f t="shared" si="24"/>
        <v>55.752347791296856</v>
      </c>
      <c r="E237" s="18">
        <f t="shared" si="25"/>
        <v>24.247652208703144</v>
      </c>
      <c r="F237" s="1">
        <f t="shared" si="30"/>
        <v>80</v>
      </c>
      <c r="G237" s="9">
        <f t="shared" si="26"/>
        <v>0</v>
      </c>
      <c r="H237" s="9">
        <f t="shared" si="27"/>
        <v>80</v>
      </c>
      <c r="I237" s="9">
        <f t="shared" si="28"/>
        <v>0</v>
      </c>
      <c r="J237" s="9">
        <f t="shared" si="29"/>
        <v>0</v>
      </c>
      <c r="K237" s="1">
        <f t="shared" si="31"/>
        <v>80</v>
      </c>
      <c r="L237" s="1"/>
      <c r="M237" s="3"/>
      <c r="N237" s="3"/>
      <c r="O237" s="3"/>
      <c r="P237" s="3"/>
      <c r="Q237" s="3"/>
      <c r="R237" s="1"/>
    </row>
    <row r="238" spans="2:18" x14ac:dyDescent="0.2">
      <c r="B238">
        <v>226</v>
      </c>
      <c r="C238" s="1">
        <v>-0.74704682863101746</v>
      </c>
      <c r="D238" s="1">
        <f t="shared" si="24"/>
        <v>56.089133151971673</v>
      </c>
      <c r="E238" s="18">
        <f t="shared" si="25"/>
        <v>23.910866848028327</v>
      </c>
      <c r="F238" s="1">
        <f t="shared" si="30"/>
        <v>80</v>
      </c>
      <c r="G238" s="9">
        <f t="shared" si="26"/>
        <v>0</v>
      </c>
      <c r="H238" s="9">
        <f t="shared" si="27"/>
        <v>80</v>
      </c>
      <c r="I238" s="9">
        <f t="shared" si="28"/>
        <v>0</v>
      </c>
      <c r="J238" s="9">
        <f t="shared" si="29"/>
        <v>0</v>
      </c>
      <c r="K238" s="1">
        <f t="shared" si="31"/>
        <v>80</v>
      </c>
      <c r="L238" s="1"/>
      <c r="M238" s="3"/>
      <c r="N238" s="3"/>
      <c r="O238" s="3"/>
      <c r="P238" s="3"/>
      <c r="Q238" s="3"/>
      <c r="R238" s="1"/>
    </row>
    <row r="239" spans="2:18" x14ac:dyDescent="0.2">
      <c r="B239">
        <v>227</v>
      </c>
      <c r="C239" s="1">
        <v>-0.74122715691476049</v>
      </c>
      <c r="D239" s="1">
        <f t="shared" si="24"/>
        <v>56.285327694051368</v>
      </c>
      <c r="E239" s="18">
        <f t="shared" si="25"/>
        <v>23.714672305948632</v>
      </c>
      <c r="F239" s="1">
        <f t="shared" si="30"/>
        <v>80</v>
      </c>
      <c r="G239" s="9">
        <f t="shared" si="26"/>
        <v>0</v>
      </c>
      <c r="H239" s="9">
        <f t="shared" si="27"/>
        <v>80</v>
      </c>
      <c r="I239" s="9">
        <f t="shared" si="28"/>
        <v>0</v>
      </c>
      <c r="J239" s="9">
        <f t="shared" si="29"/>
        <v>0</v>
      </c>
      <c r="K239" s="1">
        <f t="shared" si="31"/>
        <v>80</v>
      </c>
      <c r="L239" s="1"/>
      <c r="M239" s="3"/>
      <c r="N239" s="3"/>
      <c r="O239" s="3"/>
      <c r="P239" s="3"/>
      <c r="Q239" s="3"/>
      <c r="R239" s="1"/>
    </row>
    <row r="240" spans="2:18" x14ac:dyDescent="0.2">
      <c r="B240">
        <v>228</v>
      </c>
      <c r="C240" s="1">
        <v>-0.73370383661250971</v>
      </c>
      <c r="D240" s="1">
        <f t="shared" si="24"/>
        <v>56.53997352544188</v>
      </c>
      <c r="E240" s="18">
        <f t="shared" si="25"/>
        <v>23.46002647455812</v>
      </c>
      <c r="F240" s="1">
        <f t="shared" si="30"/>
        <v>80</v>
      </c>
      <c r="G240" s="9">
        <f t="shared" si="26"/>
        <v>0</v>
      </c>
      <c r="H240" s="9">
        <f t="shared" si="27"/>
        <v>80</v>
      </c>
      <c r="I240" s="9">
        <f t="shared" si="28"/>
        <v>0</v>
      </c>
      <c r="J240" s="9">
        <f t="shared" si="29"/>
        <v>0</v>
      </c>
      <c r="K240" s="1">
        <f t="shared" si="31"/>
        <v>80</v>
      </c>
      <c r="L240" s="1"/>
      <c r="M240" s="3"/>
      <c r="N240" s="3"/>
      <c r="O240" s="3"/>
      <c r="P240" s="3"/>
      <c r="Q240" s="3"/>
      <c r="R240" s="1"/>
    </row>
    <row r="241" spans="2:18" x14ac:dyDescent="0.2">
      <c r="B241">
        <v>229</v>
      </c>
      <c r="C241" s="1">
        <v>-0.72995544238584875</v>
      </c>
      <c r="D241" s="1">
        <f t="shared" si="24"/>
        <v>56.667277093172174</v>
      </c>
      <c r="E241" s="18">
        <f t="shared" si="25"/>
        <v>23.332722906827826</v>
      </c>
      <c r="F241" s="1">
        <f t="shared" si="30"/>
        <v>80</v>
      </c>
      <c r="G241" s="9">
        <f t="shared" si="26"/>
        <v>0</v>
      </c>
      <c r="H241" s="9">
        <f t="shared" si="27"/>
        <v>80</v>
      </c>
      <c r="I241" s="9">
        <f t="shared" si="28"/>
        <v>0</v>
      </c>
      <c r="J241" s="9">
        <f t="shared" si="29"/>
        <v>0</v>
      </c>
      <c r="K241" s="1">
        <f t="shared" si="31"/>
        <v>80</v>
      </c>
      <c r="L241" s="1"/>
      <c r="M241" s="3"/>
      <c r="N241" s="3"/>
      <c r="O241" s="3"/>
      <c r="P241" s="3"/>
      <c r="Q241" s="3"/>
      <c r="R241" s="1"/>
    </row>
    <row r="242" spans="2:18" x14ac:dyDescent="0.2">
      <c r="B242">
        <v>230</v>
      </c>
      <c r="C242" s="1">
        <v>-0.72880382779790354</v>
      </c>
      <c r="D242" s="1">
        <f t="shared" si="24"/>
        <v>56.706445941614739</v>
      </c>
      <c r="E242" s="18">
        <f t="shared" si="25"/>
        <v>23.293554058385261</v>
      </c>
      <c r="F242" s="1">
        <f t="shared" si="30"/>
        <v>80</v>
      </c>
      <c r="G242" s="9">
        <f t="shared" si="26"/>
        <v>0</v>
      </c>
      <c r="H242" s="9">
        <f t="shared" si="27"/>
        <v>80</v>
      </c>
      <c r="I242" s="9">
        <f t="shared" si="28"/>
        <v>0</v>
      </c>
      <c r="J242" s="9">
        <f t="shared" si="29"/>
        <v>0</v>
      </c>
      <c r="K242" s="1">
        <f t="shared" si="31"/>
        <v>80</v>
      </c>
      <c r="L242" s="1"/>
      <c r="M242" s="3"/>
      <c r="N242" s="3"/>
      <c r="O242" s="3"/>
      <c r="P242" s="3"/>
      <c r="Q242" s="3"/>
      <c r="R242" s="1"/>
    </row>
    <row r="243" spans="2:18" x14ac:dyDescent="0.2">
      <c r="B243">
        <v>231</v>
      </c>
      <c r="C243" s="1">
        <v>-0.72511471259581828</v>
      </c>
      <c r="D243" s="1">
        <f t="shared" si="24"/>
        <v>56.832102926306028</v>
      </c>
      <c r="E243" s="18">
        <f t="shared" si="25"/>
        <v>23.167897073693972</v>
      </c>
      <c r="F243" s="1">
        <f t="shared" si="30"/>
        <v>80</v>
      </c>
      <c r="G243" s="9">
        <f t="shared" si="26"/>
        <v>0</v>
      </c>
      <c r="H243" s="9">
        <f t="shared" si="27"/>
        <v>80</v>
      </c>
      <c r="I243" s="9">
        <f t="shared" si="28"/>
        <v>0</v>
      </c>
      <c r="J243" s="9">
        <f t="shared" si="29"/>
        <v>0</v>
      </c>
      <c r="K243" s="1">
        <f t="shared" si="31"/>
        <v>80</v>
      </c>
      <c r="L243" s="1"/>
      <c r="M243" s="3"/>
      <c r="N243" s="3"/>
      <c r="O243" s="3"/>
      <c r="P243" s="3"/>
      <c r="Q243" s="3"/>
      <c r="R243" s="1"/>
    </row>
    <row r="244" spans="2:18" x14ac:dyDescent="0.2">
      <c r="B244">
        <v>232</v>
      </c>
      <c r="C244" s="1">
        <v>-0.72423196218593733</v>
      </c>
      <c r="D244" s="1">
        <f t="shared" si="24"/>
        <v>56.862212036542516</v>
      </c>
      <c r="E244" s="18">
        <f t="shared" si="25"/>
        <v>23.137787963457484</v>
      </c>
      <c r="F244" s="1">
        <f t="shared" si="30"/>
        <v>80</v>
      </c>
      <c r="G244" s="9">
        <f t="shared" si="26"/>
        <v>0</v>
      </c>
      <c r="H244" s="9">
        <f t="shared" si="27"/>
        <v>80</v>
      </c>
      <c r="I244" s="9">
        <f t="shared" si="28"/>
        <v>0</v>
      </c>
      <c r="J244" s="9">
        <f t="shared" si="29"/>
        <v>0</v>
      </c>
      <c r="K244" s="1">
        <f t="shared" si="31"/>
        <v>80</v>
      </c>
      <c r="L244" s="1"/>
      <c r="M244" s="3"/>
      <c r="N244" s="3"/>
      <c r="O244" s="3"/>
      <c r="P244" s="3"/>
      <c r="Q244" s="3"/>
      <c r="R244" s="1"/>
    </row>
    <row r="245" spans="2:18" x14ac:dyDescent="0.2">
      <c r="B245">
        <v>233</v>
      </c>
      <c r="C245" s="1">
        <v>-0.72157611607745442</v>
      </c>
      <c r="D245" s="1">
        <f t="shared" si="24"/>
        <v>56.952894639799453</v>
      </c>
      <c r="E245" s="18">
        <f t="shared" si="25"/>
        <v>23.047105360200547</v>
      </c>
      <c r="F245" s="1">
        <f t="shared" si="30"/>
        <v>80</v>
      </c>
      <c r="G245" s="9">
        <f t="shared" si="26"/>
        <v>0</v>
      </c>
      <c r="H245" s="9">
        <f t="shared" si="27"/>
        <v>80</v>
      </c>
      <c r="I245" s="9">
        <f t="shared" si="28"/>
        <v>0</v>
      </c>
      <c r="J245" s="9">
        <f t="shared" si="29"/>
        <v>0</v>
      </c>
      <c r="K245" s="1">
        <f t="shared" si="31"/>
        <v>80</v>
      </c>
      <c r="L245" s="1"/>
      <c r="M245" s="3"/>
      <c r="N245" s="3"/>
      <c r="O245" s="3"/>
      <c r="P245" s="3"/>
      <c r="Q245" s="3"/>
      <c r="R245" s="1"/>
    </row>
    <row r="246" spans="2:18" x14ac:dyDescent="0.2">
      <c r="B246">
        <v>234</v>
      </c>
      <c r="C246" s="1">
        <v>-0.72128209538816368</v>
      </c>
      <c r="D246" s="1">
        <f t="shared" si="24"/>
        <v>56.962942723680221</v>
      </c>
      <c r="E246" s="18">
        <f t="shared" si="25"/>
        <v>23.037057276319779</v>
      </c>
      <c r="F246" s="1">
        <f t="shared" si="30"/>
        <v>80</v>
      </c>
      <c r="G246" s="9">
        <f t="shared" si="26"/>
        <v>0</v>
      </c>
      <c r="H246" s="9">
        <f t="shared" si="27"/>
        <v>80</v>
      </c>
      <c r="I246" s="9">
        <f t="shared" si="28"/>
        <v>0</v>
      </c>
      <c r="J246" s="9">
        <f t="shared" si="29"/>
        <v>0</v>
      </c>
      <c r="K246" s="1">
        <f t="shared" si="31"/>
        <v>80</v>
      </c>
      <c r="L246" s="1"/>
      <c r="M246" s="3"/>
      <c r="N246" s="3"/>
      <c r="O246" s="3"/>
      <c r="P246" s="3"/>
      <c r="Q246" s="3"/>
      <c r="R246" s="1"/>
    </row>
    <row r="247" spans="2:18" x14ac:dyDescent="0.2">
      <c r="B247">
        <v>235</v>
      </c>
      <c r="C247" s="1">
        <v>-0.72046592234458495</v>
      </c>
      <c r="D247" s="1">
        <f t="shared" si="24"/>
        <v>56.99084452593268</v>
      </c>
      <c r="E247" s="18">
        <f t="shared" si="25"/>
        <v>23.00915547406732</v>
      </c>
      <c r="F247" s="1">
        <f t="shared" si="30"/>
        <v>80</v>
      </c>
      <c r="G247" s="9">
        <f t="shared" si="26"/>
        <v>0</v>
      </c>
      <c r="H247" s="9">
        <f t="shared" si="27"/>
        <v>80</v>
      </c>
      <c r="I247" s="9">
        <f t="shared" si="28"/>
        <v>0</v>
      </c>
      <c r="J247" s="9">
        <f t="shared" si="29"/>
        <v>0</v>
      </c>
      <c r="K247" s="1">
        <f t="shared" si="31"/>
        <v>80</v>
      </c>
      <c r="L247" s="1"/>
      <c r="M247" s="3"/>
      <c r="N247" s="3"/>
      <c r="O247" s="3"/>
      <c r="P247" s="3"/>
      <c r="Q247" s="3"/>
      <c r="R247" s="1"/>
    </row>
    <row r="248" spans="2:18" x14ac:dyDescent="0.2">
      <c r="B248">
        <v>236</v>
      </c>
      <c r="C248" s="1">
        <v>-0.71778581948908449</v>
      </c>
      <c r="D248" s="1">
        <f t="shared" si="24"/>
        <v>57.082563045779267</v>
      </c>
      <c r="E248" s="18">
        <f t="shared" si="25"/>
        <v>22.917436954220733</v>
      </c>
      <c r="F248" s="1">
        <f t="shared" si="30"/>
        <v>80</v>
      </c>
      <c r="G248" s="9">
        <f t="shared" si="26"/>
        <v>0</v>
      </c>
      <c r="H248" s="9">
        <f t="shared" si="27"/>
        <v>80</v>
      </c>
      <c r="I248" s="9">
        <f t="shared" si="28"/>
        <v>0</v>
      </c>
      <c r="J248" s="9">
        <f t="shared" si="29"/>
        <v>0</v>
      </c>
      <c r="K248" s="1">
        <f t="shared" si="31"/>
        <v>80</v>
      </c>
      <c r="L248" s="1"/>
      <c r="M248" s="3"/>
      <c r="N248" s="3"/>
      <c r="O248" s="3"/>
      <c r="P248" s="3"/>
      <c r="Q248" s="3"/>
      <c r="R248" s="1"/>
    </row>
    <row r="249" spans="2:18" x14ac:dyDescent="0.2">
      <c r="B249">
        <v>237</v>
      </c>
      <c r="C249" s="1">
        <v>-0.7148882633795387</v>
      </c>
      <c r="D249" s="1">
        <f t="shared" si="24"/>
        <v>57.181889319377852</v>
      </c>
      <c r="E249" s="18">
        <f t="shared" si="25"/>
        <v>22.818110680622148</v>
      </c>
      <c r="F249" s="1">
        <f t="shared" si="30"/>
        <v>80</v>
      </c>
      <c r="G249" s="9">
        <f t="shared" si="26"/>
        <v>0</v>
      </c>
      <c r="H249" s="9">
        <f t="shared" si="27"/>
        <v>80</v>
      </c>
      <c r="I249" s="9">
        <f t="shared" si="28"/>
        <v>0</v>
      </c>
      <c r="J249" s="9">
        <f t="shared" si="29"/>
        <v>0</v>
      </c>
      <c r="K249" s="1">
        <f t="shared" si="31"/>
        <v>80</v>
      </c>
      <c r="L249" s="1"/>
      <c r="M249" s="3"/>
      <c r="N249" s="3"/>
      <c r="O249" s="3"/>
      <c r="P249" s="3"/>
      <c r="Q249" s="3"/>
      <c r="R249" s="1"/>
    </row>
    <row r="250" spans="2:18" x14ac:dyDescent="0.2">
      <c r="B250">
        <v>238</v>
      </c>
      <c r="C250" s="1">
        <v>-0.71220371437893681</v>
      </c>
      <c r="D250" s="1">
        <f t="shared" si="24"/>
        <v>57.2740680872691</v>
      </c>
      <c r="E250" s="18">
        <f t="shared" si="25"/>
        <v>22.7259319127309</v>
      </c>
      <c r="F250" s="1">
        <f t="shared" si="30"/>
        <v>80</v>
      </c>
      <c r="G250" s="9">
        <f t="shared" si="26"/>
        <v>0</v>
      </c>
      <c r="H250" s="9">
        <f t="shared" si="27"/>
        <v>80</v>
      </c>
      <c r="I250" s="9">
        <f t="shared" si="28"/>
        <v>0</v>
      </c>
      <c r="J250" s="9">
        <f t="shared" si="29"/>
        <v>0</v>
      </c>
      <c r="K250" s="1">
        <f t="shared" si="31"/>
        <v>80</v>
      </c>
      <c r="L250" s="1"/>
      <c r="M250" s="3"/>
      <c r="N250" s="3"/>
      <c r="O250" s="3"/>
      <c r="P250" s="3"/>
      <c r="Q250" s="3"/>
      <c r="R250" s="1"/>
    </row>
    <row r="251" spans="2:18" x14ac:dyDescent="0.2">
      <c r="B251">
        <v>239</v>
      </c>
      <c r="C251" s="1">
        <v>-0.70672531033379227</v>
      </c>
      <c r="D251" s="1">
        <f t="shared" si="24"/>
        <v>57.462640131410794</v>
      </c>
      <c r="E251" s="18">
        <f t="shared" si="25"/>
        <v>22.537359868589206</v>
      </c>
      <c r="F251" s="1">
        <f t="shared" si="30"/>
        <v>80</v>
      </c>
      <c r="G251" s="9">
        <f t="shared" si="26"/>
        <v>0</v>
      </c>
      <c r="H251" s="9">
        <f t="shared" si="27"/>
        <v>80</v>
      </c>
      <c r="I251" s="9">
        <f t="shared" si="28"/>
        <v>0</v>
      </c>
      <c r="J251" s="9">
        <f t="shared" si="29"/>
        <v>0</v>
      </c>
      <c r="K251" s="1">
        <f t="shared" si="31"/>
        <v>80</v>
      </c>
      <c r="L251" s="1"/>
      <c r="M251" s="3"/>
      <c r="N251" s="3"/>
      <c r="O251" s="3"/>
      <c r="P251" s="3"/>
      <c r="Q251" s="3"/>
      <c r="R251" s="1"/>
    </row>
    <row r="252" spans="2:18" x14ac:dyDescent="0.2">
      <c r="B252">
        <v>240</v>
      </c>
      <c r="C252" s="1">
        <v>-0.69989892911604967</v>
      </c>
      <c r="D252" s="1">
        <f t="shared" si="24"/>
        <v>57.698479913777746</v>
      </c>
      <c r="E252" s="18">
        <f t="shared" si="25"/>
        <v>22.301520086222254</v>
      </c>
      <c r="F252" s="1">
        <f t="shared" si="30"/>
        <v>80</v>
      </c>
      <c r="G252" s="9">
        <f t="shared" si="26"/>
        <v>0</v>
      </c>
      <c r="H252" s="9">
        <f t="shared" si="27"/>
        <v>80</v>
      </c>
      <c r="I252" s="9">
        <f t="shared" si="28"/>
        <v>0</v>
      </c>
      <c r="J252" s="9">
        <f t="shared" si="29"/>
        <v>0</v>
      </c>
      <c r="K252" s="1">
        <f t="shared" si="31"/>
        <v>80</v>
      </c>
      <c r="L252" s="1"/>
      <c r="M252" s="3"/>
      <c r="N252" s="3"/>
      <c r="O252" s="3"/>
      <c r="P252" s="3"/>
      <c r="Q252" s="3"/>
      <c r="R252" s="1"/>
    </row>
    <row r="253" spans="2:18" x14ac:dyDescent="0.2">
      <c r="B253">
        <v>241</v>
      </c>
      <c r="C253" s="1">
        <v>-0.69939635220592189</v>
      </c>
      <c r="D253" s="1">
        <f t="shared" si="24"/>
        <v>57.715881291557572</v>
      </c>
      <c r="E253" s="18">
        <f t="shared" si="25"/>
        <v>22.284118708442428</v>
      </c>
      <c r="F253" s="1">
        <f t="shared" si="30"/>
        <v>80</v>
      </c>
      <c r="G253" s="9">
        <f t="shared" si="26"/>
        <v>0</v>
      </c>
      <c r="H253" s="9">
        <f t="shared" si="27"/>
        <v>80</v>
      </c>
      <c r="I253" s="9">
        <f t="shared" si="28"/>
        <v>0</v>
      </c>
      <c r="J253" s="9">
        <f t="shared" si="29"/>
        <v>0</v>
      </c>
      <c r="K253" s="1">
        <f t="shared" si="31"/>
        <v>80</v>
      </c>
      <c r="L253" s="1"/>
      <c r="M253" s="3"/>
      <c r="N253" s="3"/>
      <c r="O253" s="3"/>
      <c r="P253" s="3"/>
      <c r="Q253" s="3"/>
      <c r="R253" s="1"/>
    </row>
    <row r="254" spans="2:18" x14ac:dyDescent="0.2">
      <c r="B254">
        <v>242</v>
      </c>
      <c r="C254" s="1">
        <v>-0.68701402929297084</v>
      </c>
      <c r="D254" s="1">
        <f t="shared" si="24"/>
        <v>58.146272090880437</v>
      </c>
      <c r="E254" s="18">
        <f t="shared" si="25"/>
        <v>21.853727909119563</v>
      </c>
      <c r="F254" s="1">
        <f t="shared" si="30"/>
        <v>80</v>
      </c>
      <c r="G254" s="9">
        <f t="shared" si="26"/>
        <v>0</v>
      </c>
      <c r="H254" s="9">
        <f t="shared" si="27"/>
        <v>80</v>
      </c>
      <c r="I254" s="9">
        <f t="shared" si="28"/>
        <v>0</v>
      </c>
      <c r="J254" s="9">
        <f t="shared" si="29"/>
        <v>0</v>
      </c>
      <c r="K254" s="1">
        <f t="shared" si="31"/>
        <v>80</v>
      </c>
      <c r="L254" s="1"/>
      <c r="M254" s="3"/>
      <c r="N254" s="3"/>
      <c r="O254" s="3"/>
      <c r="P254" s="3"/>
      <c r="Q254" s="3"/>
      <c r="R254" s="1"/>
    </row>
    <row r="255" spans="2:18" x14ac:dyDescent="0.2">
      <c r="B255">
        <v>243</v>
      </c>
      <c r="C255" s="1">
        <v>-0.6838874250787943</v>
      </c>
      <c r="D255" s="1">
        <f t="shared" si="24"/>
        <v>58.255454697714896</v>
      </c>
      <c r="E255" s="18">
        <f t="shared" si="25"/>
        <v>21.744545302285104</v>
      </c>
      <c r="F255" s="1">
        <f t="shared" si="30"/>
        <v>80</v>
      </c>
      <c r="G255" s="9">
        <f t="shared" si="26"/>
        <v>0</v>
      </c>
      <c r="H255" s="9">
        <f t="shared" si="27"/>
        <v>80</v>
      </c>
      <c r="I255" s="9">
        <f t="shared" si="28"/>
        <v>0</v>
      </c>
      <c r="J255" s="9">
        <f t="shared" si="29"/>
        <v>0</v>
      </c>
      <c r="K255" s="1">
        <f t="shared" si="31"/>
        <v>80</v>
      </c>
      <c r="L255" s="1"/>
      <c r="M255" s="3"/>
      <c r="N255" s="3"/>
      <c r="O255" s="3"/>
      <c r="P255" s="3"/>
      <c r="Q255" s="3"/>
      <c r="R255" s="1"/>
    </row>
    <row r="256" spans="2:18" x14ac:dyDescent="0.2">
      <c r="B256">
        <v>244</v>
      </c>
      <c r="C256" s="1">
        <v>-0.67699531856230577</v>
      </c>
      <c r="D256" s="1">
        <f t="shared" si="24"/>
        <v>58.496855160387561</v>
      </c>
      <c r="E256" s="18">
        <f t="shared" si="25"/>
        <v>21.503144839612439</v>
      </c>
      <c r="F256" s="1">
        <f t="shared" si="30"/>
        <v>80</v>
      </c>
      <c r="G256" s="9">
        <f t="shared" si="26"/>
        <v>0</v>
      </c>
      <c r="H256" s="9">
        <f t="shared" si="27"/>
        <v>80</v>
      </c>
      <c r="I256" s="9">
        <f t="shared" si="28"/>
        <v>0</v>
      </c>
      <c r="J256" s="9">
        <f t="shared" si="29"/>
        <v>0</v>
      </c>
      <c r="K256" s="1">
        <f t="shared" si="31"/>
        <v>80</v>
      </c>
      <c r="L256" s="1"/>
      <c r="M256" s="3"/>
      <c r="N256" s="3"/>
      <c r="O256" s="3"/>
      <c r="P256" s="3"/>
      <c r="Q256" s="3"/>
      <c r="R256" s="1"/>
    </row>
    <row r="257" spans="2:18" x14ac:dyDescent="0.2">
      <c r="B257">
        <v>245</v>
      </c>
      <c r="C257" s="1">
        <v>-0.67671469688045349</v>
      </c>
      <c r="D257" s="1">
        <f t="shared" si="24"/>
        <v>58.506705281138437</v>
      </c>
      <c r="E257" s="18">
        <f t="shared" si="25"/>
        <v>21.493294718861563</v>
      </c>
      <c r="F257" s="1">
        <f t="shared" si="30"/>
        <v>80</v>
      </c>
      <c r="G257" s="9">
        <f t="shared" si="26"/>
        <v>0</v>
      </c>
      <c r="H257" s="9">
        <f t="shared" si="27"/>
        <v>80</v>
      </c>
      <c r="I257" s="9">
        <f t="shared" si="28"/>
        <v>0</v>
      </c>
      <c r="J257" s="9">
        <f t="shared" si="29"/>
        <v>0</v>
      </c>
      <c r="K257" s="1">
        <f t="shared" si="31"/>
        <v>80</v>
      </c>
      <c r="L257" s="1"/>
      <c r="M257" s="3"/>
      <c r="N257" s="3"/>
      <c r="O257" s="3"/>
      <c r="P257" s="3"/>
      <c r="Q257" s="3"/>
      <c r="R257" s="1"/>
    </row>
    <row r="258" spans="2:18" x14ac:dyDescent="0.2">
      <c r="B258">
        <v>246</v>
      </c>
      <c r="C258" s="1">
        <v>-0.67609396295248114</v>
      </c>
      <c r="D258" s="1">
        <f t="shared" si="24"/>
        <v>58.528499597617134</v>
      </c>
      <c r="E258" s="18">
        <f t="shared" si="25"/>
        <v>21.471500402382866</v>
      </c>
      <c r="F258" s="1">
        <f t="shared" si="30"/>
        <v>80</v>
      </c>
      <c r="G258" s="9">
        <f t="shared" si="26"/>
        <v>0</v>
      </c>
      <c r="H258" s="9">
        <f t="shared" si="27"/>
        <v>80</v>
      </c>
      <c r="I258" s="9">
        <f t="shared" si="28"/>
        <v>0</v>
      </c>
      <c r="J258" s="9">
        <f t="shared" si="29"/>
        <v>0</v>
      </c>
      <c r="K258" s="1">
        <f t="shared" si="31"/>
        <v>80</v>
      </c>
      <c r="L258" s="1"/>
      <c r="M258" s="3"/>
      <c r="N258" s="3"/>
      <c r="O258" s="3"/>
      <c r="P258" s="3"/>
      <c r="Q258" s="3"/>
      <c r="R258" s="1"/>
    </row>
    <row r="259" spans="2:18" x14ac:dyDescent="0.2">
      <c r="B259">
        <v>247</v>
      </c>
      <c r="C259" s="1">
        <v>-0.67240079600877622</v>
      </c>
      <c r="D259" s="1">
        <f t="shared" si="24"/>
        <v>58.658336709515879</v>
      </c>
      <c r="E259" s="18">
        <f t="shared" si="25"/>
        <v>21.341663290484121</v>
      </c>
      <c r="F259" s="1">
        <f t="shared" si="30"/>
        <v>80</v>
      </c>
      <c r="G259" s="9">
        <f t="shared" si="26"/>
        <v>0</v>
      </c>
      <c r="H259" s="9">
        <f t="shared" si="27"/>
        <v>80</v>
      </c>
      <c r="I259" s="9">
        <f t="shared" si="28"/>
        <v>0</v>
      </c>
      <c r="J259" s="9">
        <f t="shared" si="29"/>
        <v>0</v>
      </c>
      <c r="K259" s="1">
        <f t="shared" si="31"/>
        <v>80</v>
      </c>
      <c r="L259" s="1"/>
      <c r="M259" s="3"/>
      <c r="N259" s="3"/>
      <c r="O259" s="3"/>
      <c r="P259" s="3"/>
      <c r="Q259" s="3"/>
      <c r="R259" s="1"/>
    </row>
    <row r="260" spans="2:18" x14ac:dyDescent="0.2">
      <c r="B260">
        <v>248</v>
      </c>
      <c r="C260" s="1">
        <v>-0.66716111141215995</v>
      </c>
      <c r="D260" s="1">
        <f t="shared" si="24"/>
        <v>58.843037599705703</v>
      </c>
      <c r="E260" s="18">
        <f t="shared" si="25"/>
        <v>21.156962400294297</v>
      </c>
      <c r="F260" s="1">
        <f t="shared" si="30"/>
        <v>80</v>
      </c>
      <c r="G260" s="9">
        <f t="shared" si="26"/>
        <v>0</v>
      </c>
      <c r="H260" s="9">
        <f t="shared" si="27"/>
        <v>80</v>
      </c>
      <c r="I260" s="9">
        <f t="shared" si="28"/>
        <v>0</v>
      </c>
      <c r="J260" s="9">
        <f t="shared" si="29"/>
        <v>0</v>
      </c>
      <c r="K260" s="1">
        <f t="shared" si="31"/>
        <v>80</v>
      </c>
      <c r="L260" s="1"/>
      <c r="M260" s="3"/>
      <c r="N260" s="3"/>
      <c r="O260" s="3"/>
      <c r="P260" s="3"/>
      <c r="Q260" s="3"/>
      <c r="R260" s="1"/>
    </row>
    <row r="261" spans="2:18" x14ac:dyDescent="0.2">
      <c r="B261">
        <v>249</v>
      </c>
      <c r="C261" s="1">
        <v>-0.66480023894758555</v>
      </c>
      <c r="D261" s="1">
        <f t="shared" si="24"/>
        <v>58.926449207329256</v>
      </c>
      <c r="E261" s="18">
        <f t="shared" si="25"/>
        <v>21.073550792670744</v>
      </c>
      <c r="F261" s="1">
        <f t="shared" si="30"/>
        <v>80</v>
      </c>
      <c r="G261" s="9">
        <f t="shared" si="26"/>
        <v>0</v>
      </c>
      <c r="H261" s="9">
        <f t="shared" si="27"/>
        <v>80</v>
      </c>
      <c r="I261" s="9">
        <f t="shared" si="28"/>
        <v>0</v>
      </c>
      <c r="J261" s="9">
        <f t="shared" si="29"/>
        <v>0</v>
      </c>
      <c r="K261" s="1">
        <f t="shared" si="31"/>
        <v>80</v>
      </c>
      <c r="L261" s="1"/>
      <c r="M261" s="3"/>
      <c r="N261" s="3"/>
      <c r="O261" s="3"/>
      <c r="P261" s="3"/>
      <c r="Q261" s="3"/>
      <c r="R261" s="1"/>
    </row>
    <row r="262" spans="2:18" x14ac:dyDescent="0.2">
      <c r="B262">
        <v>250</v>
      </c>
      <c r="C262" s="1">
        <v>-0.66314497507813697</v>
      </c>
      <c r="D262" s="1">
        <f t="shared" si="24"/>
        <v>58.985001571797113</v>
      </c>
      <c r="E262" s="18">
        <f t="shared" si="25"/>
        <v>21.014998428202887</v>
      </c>
      <c r="F262" s="1">
        <f t="shared" si="30"/>
        <v>80</v>
      </c>
      <c r="G262" s="9">
        <f t="shared" si="26"/>
        <v>0</v>
      </c>
      <c r="H262" s="9">
        <f t="shared" si="27"/>
        <v>80</v>
      </c>
      <c r="I262" s="9">
        <f t="shared" si="28"/>
        <v>0</v>
      </c>
      <c r="J262" s="9">
        <f t="shared" si="29"/>
        <v>0</v>
      </c>
      <c r="K262" s="1">
        <f t="shared" si="31"/>
        <v>80</v>
      </c>
      <c r="L262" s="1"/>
      <c r="M262" s="3"/>
      <c r="N262" s="3"/>
      <c r="O262" s="3"/>
      <c r="P262" s="3"/>
      <c r="Q262" s="3"/>
      <c r="R262" s="1"/>
    </row>
    <row r="263" spans="2:18" x14ac:dyDescent="0.2">
      <c r="B263">
        <v>251</v>
      </c>
      <c r="C263" s="1">
        <v>-0.66218490282251974</v>
      </c>
      <c r="D263" s="1">
        <f t="shared" si="24"/>
        <v>59.018989278157427</v>
      </c>
      <c r="E263" s="18">
        <f t="shared" si="25"/>
        <v>20.981010721842573</v>
      </c>
      <c r="F263" s="1">
        <f t="shared" si="30"/>
        <v>80</v>
      </c>
      <c r="G263" s="9">
        <f t="shared" si="26"/>
        <v>0</v>
      </c>
      <c r="H263" s="9">
        <f t="shared" si="27"/>
        <v>80</v>
      </c>
      <c r="I263" s="9">
        <f t="shared" si="28"/>
        <v>0</v>
      </c>
      <c r="J263" s="9">
        <f t="shared" si="29"/>
        <v>0</v>
      </c>
      <c r="K263" s="1">
        <f t="shared" si="31"/>
        <v>80</v>
      </c>
      <c r="L263" s="1"/>
      <c r="M263" s="3"/>
      <c r="N263" s="3"/>
      <c r="O263" s="3"/>
      <c r="P263" s="3"/>
      <c r="Q263" s="3"/>
      <c r="R263" s="1"/>
    </row>
    <row r="264" spans="2:18" x14ac:dyDescent="0.2">
      <c r="B264">
        <v>252</v>
      </c>
      <c r="C264" s="1">
        <v>-0.65895836457667745</v>
      </c>
      <c r="D264" s="1">
        <f t="shared" si="24"/>
        <v>59.133356160857254</v>
      </c>
      <c r="E264" s="18">
        <f t="shared" si="25"/>
        <v>20.866643839142746</v>
      </c>
      <c r="F264" s="1">
        <f t="shared" si="30"/>
        <v>80</v>
      </c>
      <c r="G264" s="9">
        <f t="shared" si="26"/>
        <v>0</v>
      </c>
      <c r="H264" s="9">
        <f t="shared" si="27"/>
        <v>80</v>
      </c>
      <c r="I264" s="9">
        <f t="shared" si="28"/>
        <v>0</v>
      </c>
      <c r="J264" s="9">
        <f t="shared" si="29"/>
        <v>0</v>
      </c>
      <c r="K264" s="1">
        <f t="shared" si="31"/>
        <v>80</v>
      </c>
      <c r="L264" s="1"/>
      <c r="M264" s="3"/>
      <c r="N264" s="3"/>
      <c r="O264" s="3"/>
      <c r="P264" s="3"/>
      <c r="Q264" s="3"/>
      <c r="R264" s="1"/>
    </row>
    <row r="265" spans="2:18" x14ac:dyDescent="0.2">
      <c r="B265">
        <v>253</v>
      </c>
      <c r="C265" s="1">
        <v>-0.65432422560140191</v>
      </c>
      <c r="D265" s="1">
        <f t="shared" si="24"/>
        <v>59.298004269761442</v>
      </c>
      <c r="E265" s="18">
        <f t="shared" si="25"/>
        <v>20.701995730238558</v>
      </c>
      <c r="F265" s="1">
        <f t="shared" si="30"/>
        <v>80</v>
      </c>
      <c r="G265" s="9">
        <f t="shared" si="26"/>
        <v>0</v>
      </c>
      <c r="H265" s="9">
        <f t="shared" si="27"/>
        <v>80</v>
      </c>
      <c r="I265" s="9">
        <f t="shared" si="28"/>
        <v>0</v>
      </c>
      <c r="J265" s="9">
        <f t="shared" si="29"/>
        <v>0</v>
      </c>
      <c r="K265" s="1">
        <f t="shared" si="31"/>
        <v>80</v>
      </c>
      <c r="L265" s="1"/>
      <c r="M265" s="3"/>
      <c r="N265" s="3"/>
      <c r="O265" s="3"/>
      <c r="P265" s="3"/>
      <c r="Q265" s="3"/>
      <c r="R265" s="1"/>
    </row>
    <row r="266" spans="2:18" x14ac:dyDescent="0.2">
      <c r="B266">
        <v>254</v>
      </c>
      <c r="C266" s="1">
        <v>-0.65239436493900871</v>
      </c>
      <c r="D266" s="1">
        <f t="shared" si="24"/>
        <v>59.366706169092389</v>
      </c>
      <c r="E266" s="18">
        <f t="shared" si="25"/>
        <v>20.633293830907611</v>
      </c>
      <c r="F266" s="1">
        <f t="shared" si="30"/>
        <v>80</v>
      </c>
      <c r="G266" s="9">
        <f t="shared" si="26"/>
        <v>0</v>
      </c>
      <c r="H266" s="9">
        <f t="shared" si="27"/>
        <v>80</v>
      </c>
      <c r="I266" s="9">
        <f t="shared" si="28"/>
        <v>0</v>
      </c>
      <c r="J266" s="9">
        <f t="shared" si="29"/>
        <v>0</v>
      </c>
      <c r="K266" s="1">
        <f t="shared" si="31"/>
        <v>80</v>
      </c>
      <c r="L266" s="1"/>
      <c r="M266" s="3"/>
      <c r="N266" s="3"/>
      <c r="O266" s="3"/>
      <c r="P266" s="3"/>
      <c r="Q266" s="3"/>
      <c r="R266" s="1"/>
    </row>
    <row r="267" spans="2:18" x14ac:dyDescent="0.2">
      <c r="B267">
        <v>255</v>
      </c>
      <c r="C267" s="1">
        <v>-0.64484582343616381</v>
      </c>
      <c r="D267" s="1">
        <f t="shared" si="24"/>
        <v>59.636195210430799</v>
      </c>
      <c r="E267" s="18">
        <f t="shared" si="25"/>
        <v>20.363804789569201</v>
      </c>
      <c r="F267" s="1">
        <f t="shared" si="30"/>
        <v>80</v>
      </c>
      <c r="G267" s="9">
        <f t="shared" si="26"/>
        <v>0</v>
      </c>
      <c r="H267" s="9">
        <f t="shared" si="27"/>
        <v>80</v>
      </c>
      <c r="I267" s="9">
        <f t="shared" si="28"/>
        <v>0</v>
      </c>
      <c r="J267" s="9">
        <f t="shared" si="29"/>
        <v>0</v>
      </c>
      <c r="K267" s="1">
        <f t="shared" si="31"/>
        <v>80</v>
      </c>
      <c r="L267" s="1"/>
      <c r="M267" s="3"/>
      <c r="N267" s="3"/>
      <c r="O267" s="3"/>
      <c r="P267" s="3"/>
      <c r="Q267" s="3"/>
      <c r="R267" s="1"/>
    </row>
    <row r="268" spans="2:18" x14ac:dyDescent="0.2">
      <c r="B268">
        <v>256</v>
      </c>
      <c r="C268" s="1">
        <v>-0.64234840379800884</v>
      </c>
      <c r="D268" s="1">
        <f t="shared" si="24"/>
        <v>59.725624159219358</v>
      </c>
      <c r="E268" s="18">
        <f t="shared" si="25"/>
        <v>20.274375840780642</v>
      </c>
      <c r="F268" s="1">
        <f t="shared" si="30"/>
        <v>80</v>
      </c>
      <c r="G268" s="9">
        <f t="shared" si="26"/>
        <v>0</v>
      </c>
      <c r="H268" s="9">
        <f t="shared" si="27"/>
        <v>80</v>
      </c>
      <c r="I268" s="9">
        <f t="shared" si="28"/>
        <v>0</v>
      </c>
      <c r="J268" s="9">
        <f t="shared" si="29"/>
        <v>0</v>
      </c>
      <c r="K268" s="1">
        <f t="shared" si="31"/>
        <v>80</v>
      </c>
      <c r="L268" s="1"/>
      <c r="M268" s="3"/>
      <c r="N268" s="3"/>
      <c r="O268" s="3"/>
      <c r="P268" s="3"/>
      <c r="Q268" s="3"/>
      <c r="R268" s="1"/>
    </row>
    <row r="269" spans="2:18" x14ac:dyDescent="0.2">
      <c r="B269">
        <v>257</v>
      </c>
      <c r="C269" s="1">
        <v>-0.64186873938471189</v>
      </c>
      <c r="D269" s="1">
        <f t="shared" ref="D269:D332" si="32">a0*EXP((RR-0.5*sigma^2)*T+sigma*SQRT(T)*C269)</f>
        <v>59.742815586818189</v>
      </c>
      <c r="E269" s="18">
        <f t="shared" ref="E269:E332" si="33">IF(AND(D269&gt;=0, D269&lt;F), F-D269, IF(D269&gt;=F, $E$7, 0))</f>
        <v>20.257184413181811</v>
      </c>
      <c r="F269" s="1">
        <f t="shared" si="30"/>
        <v>80</v>
      </c>
      <c r="G269" s="9">
        <f t="shared" ref="G269:G332" si="34">IF(F269&lt;F,MIN(disc,F269),0)</f>
        <v>0</v>
      </c>
      <c r="H269" s="9">
        <f t="shared" ref="H269:H332" si="35">IF(F269&gt;=F,F,F269-G269)</f>
        <v>80</v>
      </c>
      <c r="I269" s="9">
        <f t="shared" ref="I269:I332" si="36">(1-tax)*(F269-G269-H269)</f>
        <v>0</v>
      </c>
      <c r="J269" s="9">
        <f t="shared" ref="J269:J332" si="37">tax*(F269-G269-H269)</f>
        <v>0</v>
      </c>
      <c r="K269" s="1">
        <f t="shared" si="31"/>
        <v>80</v>
      </c>
      <c r="L269" s="1"/>
      <c r="M269" s="3"/>
      <c r="N269" s="3"/>
      <c r="O269" s="3"/>
      <c r="P269" s="3"/>
      <c r="Q269" s="3"/>
      <c r="R269" s="1"/>
    </row>
    <row r="270" spans="2:18" x14ac:dyDescent="0.2">
      <c r="B270">
        <v>258</v>
      </c>
      <c r="C270" s="1">
        <v>-0.64156788785346974</v>
      </c>
      <c r="D270" s="1">
        <f t="shared" si="32"/>
        <v>59.753600790742446</v>
      </c>
      <c r="E270" s="18">
        <f t="shared" si="33"/>
        <v>20.246399209257554</v>
      </c>
      <c r="F270" s="1">
        <f t="shared" ref="F270:F333" si="38">D270+E270</f>
        <v>80</v>
      </c>
      <c r="G270" s="9">
        <f t="shared" si="34"/>
        <v>0</v>
      </c>
      <c r="H270" s="9">
        <f t="shared" si="35"/>
        <v>80</v>
      </c>
      <c r="I270" s="9">
        <f t="shared" si="36"/>
        <v>0</v>
      </c>
      <c r="J270" s="9">
        <f t="shared" si="37"/>
        <v>0</v>
      </c>
      <c r="K270" s="1">
        <f t="shared" ref="K270:K333" si="39">SUM(G270:J270)</f>
        <v>80</v>
      </c>
      <c r="L270" s="1"/>
      <c r="M270" s="3"/>
      <c r="N270" s="3"/>
      <c r="O270" s="3"/>
      <c r="P270" s="3"/>
      <c r="Q270" s="3"/>
      <c r="R270" s="1"/>
    </row>
    <row r="271" spans="2:18" x14ac:dyDescent="0.2">
      <c r="B271">
        <v>259</v>
      </c>
      <c r="C271" s="1">
        <v>-0.63906135765420968</v>
      </c>
      <c r="D271" s="1">
        <f t="shared" si="32"/>
        <v>59.843532922010745</v>
      </c>
      <c r="E271" s="18">
        <f t="shared" si="33"/>
        <v>20.156467077989255</v>
      </c>
      <c r="F271" s="1">
        <f t="shared" si="38"/>
        <v>80</v>
      </c>
      <c r="G271" s="9">
        <f t="shared" si="34"/>
        <v>0</v>
      </c>
      <c r="H271" s="9">
        <f t="shared" si="35"/>
        <v>80</v>
      </c>
      <c r="I271" s="9">
        <f t="shared" si="36"/>
        <v>0</v>
      </c>
      <c r="J271" s="9">
        <f t="shared" si="37"/>
        <v>0</v>
      </c>
      <c r="K271" s="1">
        <f t="shared" si="39"/>
        <v>80</v>
      </c>
      <c r="L271" s="1"/>
      <c r="M271" s="3"/>
      <c r="N271" s="3"/>
      <c r="O271" s="3"/>
      <c r="P271" s="3"/>
      <c r="Q271" s="3"/>
      <c r="R271" s="1"/>
    </row>
    <row r="272" spans="2:18" x14ac:dyDescent="0.2">
      <c r="B272">
        <v>260</v>
      </c>
      <c r="C272" s="1">
        <v>-0.63341851080296729</v>
      </c>
      <c r="D272" s="1">
        <f t="shared" si="32"/>
        <v>60.046489038010378</v>
      </c>
      <c r="E272" s="18">
        <f t="shared" si="33"/>
        <v>19.953510961989622</v>
      </c>
      <c r="F272" s="1">
        <f t="shared" si="38"/>
        <v>80</v>
      </c>
      <c r="G272" s="9">
        <f t="shared" si="34"/>
        <v>0</v>
      </c>
      <c r="H272" s="9">
        <f t="shared" si="35"/>
        <v>80</v>
      </c>
      <c r="I272" s="9">
        <f t="shared" si="36"/>
        <v>0</v>
      </c>
      <c r="J272" s="9">
        <f t="shared" si="37"/>
        <v>0</v>
      </c>
      <c r="K272" s="1">
        <f t="shared" si="39"/>
        <v>80</v>
      </c>
      <c r="L272" s="1"/>
      <c r="M272" s="3"/>
      <c r="N272" s="3"/>
      <c r="O272" s="3"/>
      <c r="P272" s="3"/>
      <c r="Q272" s="3"/>
      <c r="R272" s="1"/>
    </row>
    <row r="273" spans="2:18" x14ac:dyDescent="0.2">
      <c r="B273">
        <v>261</v>
      </c>
      <c r="C273" s="1">
        <v>-0.62070678508383703</v>
      </c>
      <c r="D273" s="1">
        <f t="shared" si="32"/>
        <v>60.506216688386679</v>
      </c>
      <c r="E273" s="18">
        <f t="shared" si="33"/>
        <v>19.493783311613321</v>
      </c>
      <c r="F273" s="1">
        <f t="shared" si="38"/>
        <v>80</v>
      </c>
      <c r="G273" s="9">
        <f t="shared" si="34"/>
        <v>0</v>
      </c>
      <c r="H273" s="9">
        <f t="shared" si="35"/>
        <v>80</v>
      </c>
      <c r="I273" s="9">
        <f t="shared" si="36"/>
        <v>0</v>
      </c>
      <c r="J273" s="9">
        <f t="shared" si="37"/>
        <v>0</v>
      </c>
      <c r="K273" s="1">
        <f t="shared" si="39"/>
        <v>80</v>
      </c>
      <c r="L273" s="1"/>
      <c r="M273" s="3"/>
      <c r="N273" s="3"/>
      <c r="O273" s="3"/>
      <c r="P273" s="3"/>
      <c r="Q273" s="3"/>
      <c r="R273" s="1"/>
    </row>
    <row r="274" spans="2:18" x14ac:dyDescent="0.2">
      <c r="B274">
        <v>262</v>
      </c>
      <c r="C274" s="1">
        <v>-0.61638876906877826</v>
      </c>
      <c r="D274" s="1">
        <f t="shared" si="32"/>
        <v>60.66318001924359</v>
      </c>
      <c r="E274" s="18">
        <f t="shared" si="33"/>
        <v>19.33681998075641</v>
      </c>
      <c r="F274" s="1">
        <f t="shared" si="38"/>
        <v>80</v>
      </c>
      <c r="G274" s="9">
        <f t="shared" si="34"/>
        <v>0</v>
      </c>
      <c r="H274" s="9">
        <f t="shared" si="35"/>
        <v>80</v>
      </c>
      <c r="I274" s="9">
        <f t="shared" si="36"/>
        <v>0</v>
      </c>
      <c r="J274" s="9">
        <f t="shared" si="37"/>
        <v>0</v>
      </c>
      <c r="K274" s="1">
        <f t="shared" si="39"/>
        <v>80</v>
      </c>
      <c r="L274" s="1"/>
      <c r="M274" s="3"/>
      <c r="N274" s="3"/>
      <c r="O274" s="3"/>
      <c r="P274" s="3"/>
      <c r="Q274" s="3"/>
      <c r="R274" s="1"/>
    </row>
    <row r="275" spans="2:18" x14ac:dyDescent="0.2">
      <c r="B275">
        <v>263</v>
      </c>
      <c r="C275" s="1">
        <v>-0.61577441181111636</v>
      </c>
      <c r="D275" s="1">
        <f t="shared" si="32"/>
        <v>60.685545460052218</v>
      </c>
      <c r="E275" s="18">
        <f t="shared" si="33"/>
        <v>19.314454539947782</v>
      </c>
      <c r="F275" s="1">
        <f t="shared" si="38"/>
        <v>80</v>
      </c>
      <c r="G275" s="9">
        <f t="shared" si="34"/>
        <v>0</v>
      </c>
      <c r="H275" s="9">
        <f t="shared" si="35"/>
        <v>80</v>
      </c>
      <c r="I275" s="9">
        <f t="shared" si="36"/>
        <v>0</v>
      </c>
      <c r="J275" s="9">
        <f t="shared" si="37"/>
        <v>0</v>
      </c>
      <c r="K275" s="1">
        <f t="shared" si="39"/>
        <v>80</v>
      </c>
      <c r="L275" s="1"/>
      <c r="M275" s="3"/>
      <c r="N275" s="3"/>
      <c r="O275" s="3"/>
      <c r="P275" s="3"/>
      <c r="Q275" s="3"/>
      <c r="R275" s="1"/>
    </row>
    <row r="276" spans="2:18" x14ac:dyDescent="0.2">
      <c r="B276">
        <v>264</v>
      </c>
      <c r="C276" s="1">
        <v>-0.60852646456308435</v>
      </c>
      <c r="D276" s="1">
        <f t="shared" si="32"/>
        <v>60.950027508140636</v>
      </c>
      <c r="E276" s="18">
        <f t="shared" si="33"/>
        <v>19.049972491859364</v>
      </c>
      <c r="F276" s="1">
        <f t="shared" si="38"/>
        <v>80</v>
      </c>
      <c r="G276" s="9">
        <f t="shared" si="34"/>
        <v>0</v>
      </c>
      <c r="H276" s="9">
        <f t="shared" si="35"/>
        <v>80</v>
      </c>
      <c r="I276" s="9">
        <f t="shared" si="36"/>
        <v>0</v>
      </c>
      <c r="J276" s="9">
        <f t="shared" si="37"/>
        <v>0</v>
      </c>
      <c r="K276" s="1">
        <f t="shared" si="39"/>
        <v>80</v>
      </c>
      <c r="L276" s="1"/>
      <c r="M276" s="3"/>
      <c r="N276" s="3"/>
      <c r="O276" s="3"/>
      <c r="P276" s="3"/>
      <c r="Q276" s="3"/>
      <c r="R276" s="1"/>
    </row>
    <row r="277" spans="2:18" x14ac:dyDescent="0.2">
      <c r="B277">
        <v>265</v>
      </c>
      <c r="C277" s="1">
        <v>-0.60584382571618245</v>
      </c>
      <c r="D277" s="1">
        <f t="shared" si="32"/>
        <v>61.048210650824885</v>
      </c>
      <c r="E277" s="18">
        <f t="shared" si="33"/>
        <v>18.951789349175115</v>
      </c>
      <c r="F277" s="1">
        <f t="shared" si="38"/>
        <v>80</v>
      </c>
      <c r="G277" s="9">
        <f t="shared" si="34"/>
        <v>0</v>
      </c>
      <c r="H277" s="9">
        <f t="shared" si="35"/>
        <v>80</v>
      </c>
      <c r="I277" s="9">
        <f t="shared" si="36"/>
        <v>0</v>
      </c>
      <c r="J277" s="9">
        <f t="shared" si="37"/>
        <v>0</v>
      </c>
      <c r="K277" s="1">
        <f t="shared" si="39"/>
        <v>80</v>
      </c>
      <c r="L277" s="1"/>
      <c r="M277" s="3"/>
      <c r="N277" s="3"/>
      <c r="O277" s="3"/>
      <c r="P277" s="3"/>
      <c r="Q277" s="3"/>
      <c r="R277" s="1"/>
    </row>
    <row r="278" spans="2:18" x14ac:dyDescent="0.2">
      <c r="B278">
        <v>266</v>
      </c>
      <c r="C278" s="1">
        <v>-0.60439400976650803</v>
      </c>
      <c r="D278" s="1">
        <f t="shared" si="32"/>
        <v>61.101338957054786</v>
      </c>
      <c r="E278" s="18">
        <f t="shared" si="33"/>
        <v>18.898661042945214</v>
      </c>
      <c r="F278" s="1">
        <f t="shared" si="38"/>
        <v>80</v>
      </c>
      <c r="G278" s="9">
        <f t="shared" si="34"/>
        <v>0</v>
      </c>
      <c r="H278" s="9">
        <f t="shared" si="35"/>
        <v>80</v>
      </c>
      <c r="I278" s="9">
        <f t="shared" si="36"/>
        <v>0</v>
      </c>
      <c r="J278" s="9">
        <f t="shared" si="37"/>
        <v>0</v>
      </c>
      <c r="K278" s="1">
        <f t="shared" si="39"/>
        <v>80</v>
      </c>
      <c r="L278" s="1"/>
      <c r="M278" s="3"/>
      <c r="N278" s="3"/>
      <c r="O278" s="3"/>
      <c r="P278" s="3"/>
      <c r="Q278" s="3"/>
      <c r="R278" s="1"/>
    </row>
    <row r="279" spans="2:18" x14ac:dyDescent="0.2">
      <c r="B279">
        <v>267</v>
      </c>
      <c r="C279" s="1">
        <v>-0.6010024680346634</v>
      </c>
      <c r="D279" s="1">
        <f t="shared" si="32"/>
        <v>61.225802195352117</v>
      </c>
      <c r="E279" s="18">
        <f t="shared" si="33"/>
        <v>18.774197804647883</v>
      </c>
      <c r="F279" s="1">
        <f t="shared" si="38"/>
        <v>80</v>
      </c>
      <c r="G279" s="9">
        <f t="shared" si="34"/>
        <v>0</v>
      </c>
      <c r="H279" s="9">
        <f t="shared" si="35"/>
        <v>80</v>
      </c>
      <c r="I279" s="9">
        <f t="shared" si="36"/>
        <v>0</v>
      </c>
      <c r="J279" s="9">
        <f t="shared" si="37"/>
        <v>0</v>
      </c>
      <c r="K279" s="1">
        <f t="shared" si="39"/>
        <v>80</v>
      </c>
      <c r="L279" s="1"/>
      <c r="M279" s="3"/>
      <c r="N279" s="3"/>
      <c r="O279" s="3"/>
      <c r="P279" s="3"/>
      <c r="Q279" s="3"/>
      <c r="R279" s="1"/>
    </row>
    <row r="280" spans="2:18" x14ac:dyDescent="0.2">
      <c r="B280">
        <v>268</v>
      </c>
      <c r="C280" s="1">
        <v>-0.59332060895557404</v>
      </c>
      <c r="D280" s="1">
        <f t="shared" si="32"/>
        <v>61.508650325141602</v>
      </c>
      <c r="E280" s="18">
        <f t="shared" si="33"/>
        <v>18.491349674858398</v>
      </c>
      <c r="F280" s="1">
        <f t="shared" si="38"/>
        <v>80</v>
      </c>
      <c r="G280" s="9">
        <f t="shared" si="34"/>
        <v>0</v>
      </c>
      <c r="H280" s="9">
        <f t="shared" si="35"/>
        <v>80</v>
      </c>
      <c r="I280" s="9">
        <f t="shared" si="36"/>
        <v>0</v>
      </c>
      <c r="J280" s="9">
        <f t="shared" si="37"/>
        <v>0</v>
      </c>
      <c r="K280" s="1">
        <f t="shared" si="39"/>
        <v>80</v>
      </c>
      <c r="L280" s="1"/>
      <c r="M280" s="3"/>
      <c r="N280" s="3"/>
      <c r="O280" s="3"/>
      <c r="P280" s="3"/>
      <c r="Q280" s="3"/>
      <c r="R280" s="1"/>
    </row>
    <row r="281" spans="2:18" x14ac:dyDescent="0.2">
      <c r="B281">
        <v>269</v>
      </c>
      <c r="C281" s="1">
        <v>-0.5911447995106982</v>
      </c>
      <c r="D281" s="1">
        <f t="shared" si="32"/>
        <v>61.589001423724945</v>
      </c>
      <c r="E281" s="18">
        <f t="shared" si="33"/>
        <v>18.410998576275055</v>
      </c>
      <c r="F281" s="1">
        <f t="shared" si="38"/>
        <v>80</v>
      </c>
      <c r="G281" s="9">
        <f t="shared" si="34"/>
        <v>0</v>
      </c>
      <c r="H281" s="9">
        <f t="shared" si="35"/>
        <v>80</v>
      </c>
      <c r="I281" s="9">
        <f t="shared" si="36"/>
        <v>0</v>
      </c>
      <c r="J281" s="9">
        <f t="shared" si="37"/>
        <v>0</v>
      </c>
      <c r="K281" s="1">
        <f t="shared" si="39"/>
        <v>80</v>
      </c>
      <c r="L281" s="1"/>
      <c r="M281" s="3"/>
      <c r="N281" s="3"/>
      <c r="O281" s="3"/>
      <c r="P281" s="3"/>
      <c r="Q281" s="3"/>
      <c r="R281" s="1"/>
    </row>
    <row r="282" spans="2:18" x14ac:dyDescent="0.2">
      <c r="B282">
        <v>270</v>
      </c>
      <c r="C282" s="1">
        <v>-0.59036319109763191</v>
      </c>
      <c r="D282" s="1">
        <f t="shared" si="32"/>
        <v>61.617891286362457</v>
      </c>
      <c r="E282" s="18">
        <f t="shared" si="33"/>
        <v>18.382108713637543</v>
      </c>
      <c r="F282" s="1">
        <f t="shared" si="38"/>
        <v>80</v>
      </c>
      <c r="G282" s="9">
        <f t="shared" si="34"/>
        <v>0</v>
      </c>
      <c r="H282" s="9">
        <f t="shared" si="35"/>
        <v>80</v>
      </c>
      <c r="I282" s="9">
        <f t="shared" si="36"/>
        <v>0</v>
      </c>
      <c r="J282" s="9">
        <f t="shared" si="37"/>
        <v>0</v>
      </c>
      <c r="K282" s="1">
        <f t="shared" si="39"/>
        <v>80</v>
      </c>
      <c r="L282" s="1"/>
      <c r="M282" s="3"/>
      <c r="N282" s="3"/>
      <c r="O282" s="3"/>
      <c r="P282" s="3"/>
      <c r="Q282" s="3"/>
      <c r="R282" s="1"/>
    </row>
    <row r="283" spans="2:18" x14ac:dyDescent="0.2">
      <c r="B283">
        <v>271</v>
      </c>
      <c r="C283" s="1">
        <v>-0.5859423076474648</v>
      </c>
      <c r="D283" s="1">
        <f t="shared" si="32"/>
        <v>61.78155155679169</v>
      </c>
      <c r="E283" s="18">
        <f t="shared" si="33"/>
        <v>18.21844844320831</v>
      </c>
      <c r="F283" s="1">
        <f t="shared" si="38"/>
        <v>80</v>
      </c>
      <c r="G283" s="9">
        <f t="shared" si="34"/>
        <v>0</v>
      </c>
      <c r="H283" s="9">
        <f t="shared" si="35"/>
        <v>80</v>
      </c>
      <c r="I283" s="9">
        <f t="shared" si="36"/>
        <v>0</v>
      </c>
      <c r="J283" s="9">
        <f t="shared" si="37"/>
        <v>0</v>
      </c>
      <c r="K283" s="1">
        <f t="shared" si="39"/>
        <v>80</v>
      </c>
      <c r="L283" s="1"/>
      <c r="M283" s="3"/>
      <c r="N283" s="3"/>
      <c r="O283" s="3"/>
      <c r="P283" s="3"/>
      <c r="Q283" s="3"/>
      <c r="R283" s="1"/>
    </row>
    <row r="284" spans="2:18" x14ac:dyDescent="0.2">
      <c r="B284">
        <v>272</v>
      </c>
      <c r="C284" s="1">
        <v>-0.58476745443106581</v>
      </c>
      <c r="D284" s="1">
        <f t="shared" si="32"/>
        <v>61.825117462787503</v>
      </c>
      <c r="E284" s="18">
        <f t="shared" si="33"/>
        <v>18.174882537212497</v>
      </c>
      <c r="F284" s="1">
        <f t="shared" si="38"/>
        <v>80</v>
      </c>
      <c r="G284" s="9">
        <f t="shared" si="34"/>
        <v>0</v>
      </c>
      <c r="H284" s="9">
        <f t="shared" si="35"/>
        <v>80</v>
      </c>
      <c r="I284" s="9">
        <f t="shared" si="36"/>
        <v>0</v>
      </c>
      <c r="J284" s="9">
        <f t="shared" si="37"/>
        <v>0</v>
      </c>
      <c r="K284" s="1">
        <f t="shared" si="39"/>
        <v>80</v>
      </c>
      <c r="L284" s="1"/>
      <c r="M284" s="3"/>
      <c r="N284" s="3"/>
      <c r="O284" s="3"/>
      <c r="P284" s="3"/>
      <c r="Q284" s="3"/>
      <c r="R284" s="1"/>
    </row>
    <row r="285" spans="2:18" x14ac:dyDescent="0.2">
      <c r="B285">
        <v>273</v>
      </c>
      <c r="C285" s="1">
        <v>-0.57966653004750579</v>
      </c>
      <c r="D285" s="1">
        <f t="shared" si="32"/>
        <v>62.014626465697631</v>
      </c>
      <c r="E285" s="18">
        <f t="shared" si="33"/>
        <v>17.985373534302369</v>
      </c>
      <c r="F285" s="1">
        <f t="shared" si="38"/>
        <v>80</v>
      </c>
      <c r="G285" s="9">
        <f t="shared" si="34"/>
        <v>0</v>
      </c>
      <c r="H285" s="9">
        <f t="shared" si="35"/>
        <v>80</v>
      </c>
      <c r="I285" s="9">
        <f t="shared" si="36"/>
        <v>0</v>
      </c>
      <c r="J285" s="9">
        <f t="shared" si="37"/>
        <v>0</v>
      </c>
      <c r="K285" s="1">
        <f t="shared" si="39"/>
        <v>80</v>
      </c>
      <c r="L285" s="1"/>
      <c r="M285" s="3"/>
      <c r="N285" s="3"/>
      <c r="O285" s="3"/>
      <c r="P285" s="3"/>
      <c r="Q285" s="3"/>
      <c r="R285" s="1"/>
    </row>
    <row r="286" spans="2:18" x14ac:dyDescent="0.2">
      <c r="B286">
        <v>274</v>
      </c>
      <c r="C286" s="1">
        <v>-0.57895183064661493</v>
      </c>
      <c r="D286" s="1">
        <f t="shared" si="32"/>
        <v>62.041225258161248</v>
      </c>
      <c r="E286" s="18">
        <f t="shared" si="33"/>
        <v>17.958774741838752</v>
      </c>
      <c r="F286" s="1">
        <f t="shared" si="38"/>
        <v>80</v>
      </c>
      <c r="G286" s="9">
        <f t="shared" si="34"/>
        <v>0</v>
      </c>
      <c r="H286" s="9">
        <f t="shared" si="35"/>
        <v>80</v>
      </c>
      <c r="I286" s="9">
        <f t="shared" si="36"/>
        <v>0</v>
      </c>
      <c r="J286" s="9">
        <f t="shared" si="37"/>
        <v>0</v>
      </c>
      <c r="K286" s="1">
        <f t="shared" si="39"/>
        <v>80</v>
      </c>
      <c r="L286" s="1"/>
      <c r="M286" s="3"/>
      <c r="N286" s="3"/>
      <c r="O286" s="3"/>
      <c r="P286" s="3"/>
      <c r="Q286" s="3"/>
      <c r="R286" s="1"/>
    </row>
    <row r="287" spans="2:18" x14ac:dyDescent="0.2">
      <c r="B287">
        <v>275</v>
      </c>
      <c r="C287" s="1">
        <v>-0.57468799279795668</v>
      </c>
      <c r="D287" s="1">
        <f t="shared" si="32"/>
        <v>62.200148693269952</v>
      </c>
      <c r="E287" s="18">
        <f t="shared" si="33"/>
        <v>17.799851306730048</v>
      </c>
      <c r="F287" s="1">
        <f t="shared" si="38"/>
        <v>80</v>
      </c>
      <c r="G287" s="9">
        <f t="shared" si="34"/>
        <v>0</v>
      </c>
      <c r="H287" s="9">
        <f t="shared" si="35"/>
        <v>80</v>
      </c>
      <c r="I287" s="9">
        <f t="shared" si="36"/>
        <v>0</v>
      </c>
      <c r="J287" s="9">
        <f t="shared" si="37"/>
        <v>0</v>
      </c>
      <c r="K287" s="1">
        <f t="shared" si="39"/>
        <v>80</v>
      </c>
      <c r="L287" s="1"/>
      <c r="M287" s="3"/>
      <c r="N287" s="3"/>
      <c r="O287" s="3"/>
      <c r="P287" s="3"/>
      <c r="Q287" s="3"/>
      <c r="R287" s="1"/>
    </row>
    <row r="288" spans="2:18" x14ac:dyDescent="0.2">
      <c r="B288">
        <v>276</v>
      </c>
      <c r="C288" s="1">
        <v>-0.57163261333375692</v>
      </c>
      <c r="D288" s="1">
        <f t="shared" si="32"/>
        <v>62.314280310118278</v>
      </c>
      <c r="E288" s="18">
        <f t="shared" si="33"/>
        <v>17.685719689881722</v>
      </c>
      <c r="F288" s="1">
        <f t="shared" si="38"/>
        <v>80</v>
      </c>
      <c r="G288" s="9">
        <f t="shared" si="34"/>
        <v>0</v>
      </c>
      <c r="H288" s="9">
        <f t="shared" si="35"/>
        <v>80</v>
      </c>
      <c r="I288" s="9">
        <f t="shared" si="36"/>
        <v>0</v>
      </c>
      <c r="J288" s="9">
        <f t="shared" si="37"/>
        <v>0</v>
      </c>
      <c r="K288" s="1">
        <f t="shared" si="39"/>
        <v>80</v>
      </c>
      <c r="L288" s="1"/>
      <c r="M288" s="3"/>
      <c r="N288" s="3"/>
      <c r="O288" s="3"/>
      <c r="P288" s="3"/>
      <c r="Q288" s="3"/>
      <c r="R288" s="1"/>
    </row>
    <row r="289" spans="2:18" x14ac:dyDescent="0.2">
      <c r="B289">
        <v>277</v>
      </c>
      <c r="C289" s="1">
        <v>-0.57090807725151149</v>
      </c>
      <c r="D289" s="1">
        <f t="shared" si="32"/>
        <v>62.341375565852999</v>
      </c>
      <c r="E289" s="18">
        <f t="shared" si="33"/>
        <v>17.658624434147001</v>
      </c>
      <c r="F289" s="1">
        <f t="shared" si="38"/>
        <v>80</v>
      </c>
      <c r="G289" s="9">
        <f t="shared" si="34"/>
        <v>0</v>
      </c>
      <c r="H289" s="9">
        <f t="shared" si="35"/>
        <v>80</v>
      </c>
      <c r="I289" s="9">
        <f t="shared" si="36"/>
        <v>0</v>
      </c>
      <c r="J289" s="9">
        <f t="shared" si="37"/>
        <v>0</v>
      </c>
      <c r="K289" s="1">
        <f t="shared" si="39"/>
        <v>80</v>
      </c>
      <c r="L289" s="1"/>
      <c r="M289" s="3"/>
      <c r="N289" s="3"/>
      <c r="O289" s="3"/>
      <c r="P289" s="3"/>
      <c r="Q289" s="3"/>
      <c r="R289" s="1"/>
    </row>
    <row r="290" spans="2:18" x14ac:dyDescent="0.2">
      <c r="B290">
        <v>278</v>
      </c>
      <c r="C290" s="1">
        <v>-0.56618590945642466</v>
      </c>
      <c r="D290" s="1">
        <f t="shared" si="32"/>
        <v>62.51825788952754</v>
      </c>
      <c r="E290" s="18">
        <f t="shared" si="33"/>
        <v>17.48174211047246</v>
      </c>
      <c r="F290" s="1">
        <f t="shared" si="38"/>
        <v>80</v>
      </c>
      <c r="G290" s="9">
        <f t="shared" si="34"/>
        <v>0</v>
      </c>
      <c r="H290" s="9">
        <f t="shared" si="35"/>
        <v>80</v>
      </c>
      <c r="I290" s="9">
        <f t="shared" si="36"/>
        <v>0</v>
      </c>
      <c r="J290" s="9">
        <f t="shared" si="37"/>
        <v>0</v>
      </c>
      <c r="K290" s="1">
        <f t="shared" si="39"/>
        <v>80</v>
      </c>
      <c r="L290" s="1"/>
      <c r="M290" s="3"/>
      <c r="N290" s="3"/>
      <c r="O290" s="3"/>
      <c r="P290" s="3"/>
      <c r="Q290" s="3"/>
      <c r="R290" s="1"/>
    </row>
    <row r="291" spans="2:18" x14ac:dyDescent="0.2">
      <c r="B291">
        <v>279</v>
      </c>
      <c r="C291" s="1">
        <v>-0.56458725307604196</v>
      </c>
      <c r="D291" s="1">
        <f t="shared" si="32"/>
        <v>62.578253785893644</v>
      </c>
      <c r="E291" s="18">
        <f t="shared" si="33"/>
        <v>17.421746214106356</v>
      </c>
      <c r="F291" s="1">
        <f t="shared" si="38"/>
        <v>80</v>
      </c>
      <c r="G291" s="9">
        <f t="shared" si="34"/>
        <v>0</v>
      </c>
      <c r="H291" s="9">
        <f t="shared" si="35"/>
        <v>80</v>
      </c>
      <c r="I291" s="9">
        <f t="shared" si="36"/>
        <v>0</v>
      </c>
      <c r="J291" s="9">
        <f t="shared" si="37"/>
        <v>0</v>
      </c>
      <c r="K291" s="1">
        <f t="shared" si="39"/>
        <v>80</v>
      </c>
      <c r="L291" s="1"/>
      <c r="M291" s="3"/>
      <c r="N291" s="3"/>
      <c r="O291" s="3"/>
      <c r="P291" s="3"/>
      <c r="Q291" s="3"/>
      <c r="R291" s="1"/>
    </row>
    <row r="292" spans="2:18" x14ac:dyDescent="0.2">
      <c r="B292">
        <v>280</v>
      </c>
      <c r="C292" s="1">
        <v>-0.56112768048279049</v>
      </c>
      <c r="D292" s="1">
        <f t="shared" si="32"/>
        <v>62.708285102076758</v>
      </c>
      <c r="E292" s="18">
        <f t="shared" si="33"/>
        <v>17.291714897923242</v>
      </c>
      <c r="F292" s="1">
        <f t="shared" si="38"/>
        <v>80</v>
      </c>
      <c r="G292" s="9">
        <f t="shared" si="34"/>
        <v>0</v>
      </c>
      <c r="H292" s="9">
        <f t="shared" si="35"/>
        <v>80</v>
      </c>
      <c r="I292" s="9">
        <f t="shared" si="36"/>
        <v>0</v>
      </c>
      <c r="J292" s="9">
        <f t="shared" si="37"/>
        <v>0</v>
      </c>
      <c r="K292" s="1">
        <f t="shared" si="39"/>
        <v>80</v>
      </c>
      <c r="L292" s="1"/>
      <c r="M292" s="3"/>
      <c r="N292" s="3"/>
      <c r="O292" s="3"/>
      <c r="P292" s="3"/>
      <c r="Q292" s="3"/>
      <c r="R292" s="1"/>
    </row>
    <row r="293" spans="2:18" x14ac:dyDescent="0.2">
      <c r="B293">
        <v>281</v>
      </c>
      <c r="C293" s="1">
        <v>-0.55913379370169669</v>
      </c>
      <c r="D293" s="1">
        <f t="shared" si="32"/>
        <v>62.783349926790521</v>
      </c>
      <c r="E293" s="18">
        <f t="shared" si="33"/>
        <v>17.216650073209479</v>
      </c>
      <c r="F293" s="1">
        <f t="shared" si="38"/>
        <v>80</v>
      </c>
      <c r="G293" s="9">
        <f t="shared" si="34"/>
        <v>0</v>
      </c>
      <c r="H293" s="9">
        <f t="shared" si="35"/>
        <v>80</v>
      </c>
      <c r="I293" s="9">
        <f t="shared" si="36"/>
        <v>0</v>
      </c>
      <c r="J293" s="9">
        <f t="shared" si="37"/>
        <v>0</v>
      </c>
      <c r="K293" s="1">
        <f t="shared" si="39"/>
        <v>80</v>
      </c>
      <c r="L293" s="1"/>
      <c r="M293" s="3"/>
      <c r="N293" s="3"/>
      <c r="O293" s="3"/>
      <c r="P293" s="3"/>
      <c r="Q293" s="3"/>
      <c r="R293" s="1"/>
    </row>
    <row r="294" spans="2:18" x14ac:dyDescent="0.2">
      <c r="B294">
        <v>282</v>
      </c>
      <c r="C294" s="1">
        <v>-0.55850153067279662</v>
      </c>
      <c r="D294" s="1">
        <f t="shared" si="32"/>
        <v>62.8071717996052</v>
      </c>
      <c r="E294" s="18">
        <f t="shared" si="33"/>
        <v>17.1928282003948</v>
      </c>
      <c r="F294" s="1">
        <f t="shared" si="38"/>
        <v>80</v>
      </c>
      <c r="G294" s="9">
        <f t="shared" si="34"/>
        <v>0</v>
      </c>
      <c r="H294" s="9">
        <f t="shared" si="35"/>
        <v>80</v>
      </c>
      <c r="I294" s="9">
        <f t="shared" si="36"/>
        <v>0</v>
      </c>
      <c r="J294" s="9">
        <f t="shared" si="37"/>
        <v>0</v>
      </c>
      <c r="K294" s="1">
        <f t="shared" si="39"/>
        <v>80</v>
      </c>
      <c r="L294" s="1"/>
      <c r="M294" s="3"/>
      <c r="N294" s="3"/>
      <c r="O294" s="3"/>
      <c r="P294" s="3"/>
      <c r="Q294" s="3"/>
      <c r="R294" s="1"/>
    </row>
    <row r="295" spans="2:18" x14ac:dyDescent="0.2">
      <c r="B295">
        <v>283</v>
      </c>
      <c r="C295" s="1">
        <v>-0.55791202399191409</v>
      </c>
      <c r="D295" s="1">
        <f t="shared" si="32"/>
        <v>62.8293908772919</v>
      </c>
      <c r="E295" s="18">
        <f t="shared" si="33"/>
        <v>17.1706091227081</v>
      </c>
      <c r="F295" s="1">
        <f t="shared" si="38"/>
        <v>80</v>
      </c>
      <c r="G295" s="9">
        <f t="shared" si="34"/>
        <v>0</v>
      </c>
      <c r="H295" s="9">
        <f t="shared" si="35"/>
        <v>80</v>
      </c>
      <c r="I295" s="9">
        <f t="shared" si="36"/>
        <v>0</v>
      </c>
      <c r="J295" s="9">
        <f t="shared" si="37"/>
        <v>0</v>
      </c>
      <c r="K295" s="1">
        <f t="shared" si="39"/>
        <v>80</v>
      </c>
      <c r="L295" s="1"/>
      <c r="M295" s="3"/>
      <c r="N295" s="3"/>
      <c r="O295" s="3"/>
      <c r="P295" s="3"/>
      <c r="Q295" s="3"/>
      <c r="R295" s="1"/>
    </row>
    <row r="296" spans="2:18" x14ac:dyDescent="0.2">
      <c r="B296">
        <v>284</v>
      </c>
      <c r="C296" s="1">
        <v>-0.55680468186477261</v>
      </c>
      <c r="D296" s="1">
        <f t="shared" si="32"/>
        <v>62.871148926694588</v>
      </c>
      <c r="E296" s="18">
        <f t="shared" si="33"/>
        <v>17.128851073305412</v>
      </c>
      <c r="F296" s="1">
        <f t="shared" si="38"/>
        <v>80</v>
      </c>
      <c r="G296" s="9">
        <f t="shared" si="34"/>
        <v>0</v>
      </c>
      <c r="H296" s="9">
        <f t="shared" si="35"/>
        <v>80</v>
      </c>
      <c r="I296" s="9">
        <f t="shared" si="36"/>
        <v>0</v>
      </c>
      <c r="J296" s="9">
        <f t="shared" si="37"/>
        <v>0</v>
      </c>
      <c r="K296" s="1">
        <f t="shared" si="39"/>
        <v>80</v>
      </c>
      <c r="L296" s="1"/>
      <c r="M296" s="3"/>
      <c r="N296" s="3"/>
      <c r="O296" s="3"/>
      <c r="P296" s="3"/>
      <c r="Q296" s="3"/>
      <c r="R296" s="1"/>
    </row>
    <row r="297" spans="2:18" x14ac:dyDescent="0.2">
      <c r="B297">
        <v>285</v>
      </c>
      <c r="C297" s="1">
        <v>-0.55643132207059909</v>
      </c>
      <c r="D297" s="1">
        <f t="shared" si="32"/>
        <v>62.885234639881013</v>
      </c>
      <c r="E297" s="18">
        <f t="shared" si="33"/>
        <v>17.114765360118987</v>
      </c>
      <c r="F297" s="1">
        <f t="shared" si="38"/>
        <v>80</v>
      </c>
      <c r="G297" s="9">
        <f t="shared" si="34"/>
        <v>0</v>
      </c>
      <c r="H297" s="9">
        <f t="shared" si="35"/>
        <v>80</v>
      </c>
      <c r="I297" s="9">
        <f t="shared" si="36"/>
        <v>0</v>
      </c>
      <c r="J297" s="9">
        <f t="shared" si="37"/>
        <v>0</v>
      </c>
      <c r="K297" s="1">
        <f t="shared" si="39"/>
        <v>80</v>
      </c>
      <c r="L297" s="1"/>
      <c r="M297" s="3"/>
      <c r="N297" s="3"/>
      <c r="O297" s="3"/>
      <c r="P297" s="3"/>
      <c r="Q297" s="3"/>
      <c r="R297" s="1"/>
    </row>
    <row r="298" spans="2:18" x14ac:dyDescent="0.2">
      <c r="B298">
        <v>286</v>
      </c>
      <c r="C298" s="1">
        <v>-0.55574353240630425</v>
      </c>
      <c r="D298" s="1">
        <f t="shared" si="32"/>
        <v>62.911191083938064</v>
      </c>
      <c r="E298" s="18">
        <f t="shared" si="33"/>
        <v>17.088808916061936</v>
      </c>
      <c r="F298" s="1">
        <f t="shared" si="38"/>
        <v>80</v>
      </c>
      <c r="G298" s="9">
        <f t="shared" si="34"/>
        <v>0</v>
      </c>
      <c r="H298" s="9">
        <f t="shared" si="35"/>
        <v>80</v>
      </c>
      <c r="I298" s="9">
        <f t="shared" si="36"/>
        <v>0</v>
      </c>
      <c r="J298" s="9">
        <f t="shared" si="37"/>
        <v>0</v>
      </c>
      <c r="K298" s="1">
        <f t="shared" si="39"/>
        <v>80</v>
      </c>
      <c r="L298" s="1"/>
      <c r="M298" s="3"/>
      <c r="N298" s="3"/>
      <c r="O298" s="3"/>
      <c r="P298" s="3"/>
      <c r="Q298" s="3"/>
      <c r="R298" s="1"/>
    </row>
    <row r="299" spans="2:18" x14ac:dyDescent="0.2">
      <c r="B299">
        <v>287</v>
      </c>
      <c r="C299" s="1">
        <v>-0.55430511671847049</v>
      </c>
      <c r="D299" s="1">
        <f t="shared" si="32"/>
        <v>62.965509987032405</v>
      </c>
      <c r="E299" s="18">
        <f t="shared" si="33"/>
        <v>17.034490012967595</v>
      </c>
      <c r="F299" s="1">
        <f t="shared" si="38"/>
        <v>80</v>
      </c>
      <c r="G299" s="9">
        <f t="shared" si="34"/>
        <v>0</v>
      </c>
      <c r="H299" s="9">
        <f t="shared" si="35"/>
        <v>80</v>
      </c>
      <c r="I299" s="9">
        <f t="shared" si="36"/>
        <v>0</v>
      </c>
      <c r="J299" s="9">
        <f t="shared" si="37"/>
        <v>0</v>
      </c>
      <c r="K299" s="1">
        <f t="shared" si="39"/>
        <v>80</v>
      </c>
      <c r="L299" s="1"/>
      <c r="M299" s="3"/>
      <c r="N299" s="3"/>
      <c r="O299" s="3"/>
      <c r="P299" s="3"/>
      <c r="Q299" s="3"/>
      <c r="R299" s="1"/>
    </row>
    <row r="300" spans="2:18" x14ac:dyDescent="0.2">
      <c r="B300">
        <v>288</v>
      </c>
      <c r="C300" s="1">
        <v>-0.55370523092098356</v>
      </c>
      <c r="D300" s="1">
        <f t="shared" si="32"/>
        <v>62.988177335237417</v>
      </c>
      <c r="E300" s="18">
        <f t="shared" si="33"/>
        <v>17.011822664762583</v>
      </c>
      <c r="F300" s="1">
        <f t="shared" si="38"/>
        <v>80</v>
      </c>
      <c r="G300" s="9">
        <f t="shared" si="34"/>
        <v>0</v>
      </c>
      <c r="H300" s="9">
        <f t="shared" si="35"/>
        <v>80</v>
      </c>
      <c r="I300" s="9">
        <f t="shared" si="36"/>
        <v>0</v>
      </c>
      <c r="J300" s="9">
        <f t="shared" si="37"/>
        <v>0</v>
      </c>
      <c r="K300" s="1">
        <f t="shared" si="39"/>
        <v>80</v>
      </c>
      <c r="L300" s="1"/>
      <c r="M300" s="3"/>
      <c r="N300" s="3"/>
      <c r="O300" s="3"/>
      <c r="P300" s="3"/>
      <c r="Q300" s="3"/>
      <c r="R300" s="1"/>
    </row>
    <row r="301" spans="2:18" x14ac:dyDescent="0.2">
      <c r="B301">
        <v>289</v>
      </c>
      <c r="C301" s="1">
        <v>-0.55026170548085562</v>
      </c>
      <c r="D301" s="1">
        <f t="shared" si="32"/>
        <v>63.118452705507998</v>
      </c>
      <c r="E301" s="18">
        <f t="shared" si="33"/>
        <v>16.881547294492002</v>
      </c>
      <c r="F301" s="1">
        <f t="shared" si="38"/>
        <v>80</v>
      </c>
      <c r="G301" s="9">
        <f t="shared" si="34"/>
        <v>0</v>
      </c>
      <c r="H301" s="9">
        <f t="shared" si="35"/>
        <v>80</v>
      </c>
      <c r="I301" s="9">
        <f t="shared" si="36"/>
        <v>0</v>
      </c>
      <c r="J301" s="9">
        <f t="shared" si="37"/>
        <v>0</v>
      </c>
      <c r="K301" s="1">
        <f t="shared" si="39"/>
        <v>80</v>
      </c>
      <c r="L301" s="1"/>
      <c r="M301" s="3"/>
      <c r="N301" s="3"/>
      <c r="O301" s="3"/>
      <c r="P301" s="3"/>
      <c r="Q301" s="3"/>
      <c r="R301" s="1"/>
    </row>
    <row r="302" spans="2:18" x14ac:dyDescent="0.2">
      <c r="B302">
        <v>290</v>
      </c>
      <c r="C302" s="1">
        <v>-0.5494877139624359</v>
      </c>
      <c r="D302" s="1">
        <f t="shared" si="32"/>
        <v>63.147771400937472</v>
      </c>
      <c r="E302" s="18">
        <f t="shared" si="33"/>
        <v>16.852228599062528</v>
      </c>
      <c r="F302" s="1">
        <f t="shared" si="38"/>
        <v>80</v>
      </c>
      <c r="G302" s="9">
        <f t="shared" si="34"/>
        <v>0</v>
      </c>
      <c r="H302" s="9">
        <f t="shared" si="35"/>
        <v>80</v>
      </c>
      <c r="I302" s="9">
        <f t="shared" si="36"/>
        <v>0</v>
      </c>
      <c r="J302" s="9">
        <f t="shared" si="37"/>
        <v>0</v>
      </c>
      <c r="K302" s="1">
        <f t="shared" si="39"/>
        <v>80</v>
      </c>
      <c r="L302" s="1"/>
      <c r="M302" s="3"/>
      <c r="N302" s="3"/>
      <c r="O302" s="3"/>
      <c r="P302" s="3"/>
      <c r="Q302" s="3"/>
      <c r="R302" s="1"/>
    </row>
    <row r="303" spans="2:18" x14ac:dyDescent="0.2">
      <c r="B303">
        <v>291</v>
      </c>
      <c r="C303" s="1">
        <v>-0.54913050970767097</v>
      </c>
      <c r="D303" s="1">
        <f t="shared" si="32"/>
        <v>63.161306842934906</v>
      </c>
      <c r="E303" s="18">
        <f t="shared" si="33"/>
        <v>16.838693157065094</v>
      </c>
      <c r="F303" s="1">
        <f t="shared" si="38"/>
        <v>80</v>
      </c>
      <c r="G303" s="9">
        <f t="shared" si="34"/>
        <v>0</v>
      </c>
      <c r="H303" s="9">
        <f t="shared" si="35"/>
        <v>80</v>
      </c>
      <c r="I303" s="9">
        <f t="shared" si="36"/>
        <v>0</v>
      </c>
      <c r="J303" s="9">
        <f t="shared" si="37"/>
        <v>0</v>
      </c>
      <c r="K303" s="1">
        <f t="shared" si="39"/>
        <v>80</v>
      </c>
      <c r="L303" s="1"/>
      <c r="M303" s="3"/>
      <c r="N303" s="3"/>
      <c r="O303" s="3"/>
      <c r="P303" s="3"/>
      <c r="Q303" s="3"/>
      <c r="R303" s="1"/>
    </row>
    <row r="304" spans="2:18" x14ac:dyDescent="0.2">
      <c r="B304">
        <v>292</v>
      </c>
      <c r="C304" s="1">
        <v>-0.54907915852059908</v>
      </c>
      <c r="D304" s="1">
        <f t="shared" si="32"/>
        <v>63.163252917764765</v>
      </c>
      <c r="E304" s="18">
        <f t="shared" si="33"/>
        <v>16.836747082235235</v>
      </c>
      <c r="F304" s="1">
        <f t="shared" si="38"/>
        <v>80</v>
      </c>
      <c r="G304" s="9">
        <f t="shared" si="34"/>
        <v>0</v>
      </c>
      <c r="H304" s="9">
        <f t="shared" si="35"/>
        <v>80</v>
      </c>
      <c r="I304" s="9">
        <f t="shared" si="36"/>
        <v>0</v>
      </c>
      <c r="J304" s="9">
        <f t="shared" si="37"/>
        <v>0</v>
      </c>
      <c r="K304" s="1">
        <f t="shared" si="39"/>
        <v>80</v>
      </c>
      <c r="L304" s="1"/>
      <c r="M304" s="3"/>
      <c r="N304" s="3"/>
      <c r="O304" s="3"/>
      <c r="P304" s="3"/>
      <c r="Q304" s="3"/>
      <c r="R304" s="1"/>
    </row>
    <row r="305" spans="2:18" x14ac:dyDescent="0.2">
      <c r="B305">
        <v>293</v>
      </c>
      <c r="C305" s="1">
        <v>-0.54751943675078107</v>
      </c>
      <c r="D305" s="1">
        <f t="shared" si="32"/>
        <v>63.222390845439747</v>
      </c>
      <c r="E305" s="18">
        <f t="shared" si="33"/>
        <v>16.777609154560253</v>
      </c>
      <c r="F305" s="1">
        <f t="shared" si="38"/>
        <v>80</v>
      </c>
      <c r="G305" s="9">
        <f t="shared" si="34"/>
        <v>0</v>
      </c>
      <c r="H305" s="9">
        <f t="shared" si="35"/>
        <v>80</v>
      </c>
      <c r="I305" s="9">
        <f t="shared" si="36"/>
        <v>0</v>
      </c>
      <c r="J305" s="9">
        <f t="shared" si="37"/>
        <v>0</v>
      </c>
      <c r="K305" s="1">
        <f t="shared" si="39"/>
        <v>80</v>
      </c>
      <c r="L305" s="1"/>
      <c r="M305" s="3"/>
      <c r="N305" s="3"/>
      <c r="O305" s="3"/>
      <c r="P305" s="3"/>
      <c r="Q305" s="3"/>
      <c r="R305" s="1"/>
    </row>
    <row r="306" spans="2:18" x14ac:dyDescent="0.2">
      <c r="B306">
        <v>294</v>
      </c>
      <c r="C306" s="1">
        <v>-0.54358079677954485</v>
      </c>
      <c r="D306" s="1">
        <f t="shared" si="32"/>
        <v>63.371973663081874</v>
      </c>
      <c r="E306" s="18">
        <f t="shared" si="33"/>
        <v>16.628026336918126</v>
      </c>
      <c r="F306" s="1">
        <f t="shared" si="38"/>
        <v>80</v>
      </c>
      <c r="G306" s="9">
        <f t="shared" si="34"/>
        <v>0</v>
      </c>
      <c r="H306" s="9">
        <f t="shared" si="35"/>
        <v>80</v>
      </c>
      <c r="I306" s="9">
        <f t="shared" si="36"/>
        <v>0</v>
      </c>
      <c r="J306" s="9">
        <f t="shared" si="37"/>
        <v>0</v>
      </c>
      <c r="K306" s="1">
        <f t="shared" si="39"/>
        <v>80</v>
      </c>
      <c r="L306" s="1"/>
      <c r="M306" s="3"/>
      <c r="N306" s="3"/>
      <c r="O306" s="3"/>
      <c r="P306" s="3"/>
      <c r="Q306" s="3"/>
      <c r="R306" s="1"/>
    </row>
    <row r="307" spans="2:18" x14ac:dyDescent="0.2">
      <c r="B307">
        <v>295</v>
      </c>
      <c r="C307" s="1">
        <v>-0.54216151903615517</v>
      </c>
      <c r="D307" s="1">
        <f t="shared" si="32"/>
        <v>63.42596210626288</v>
      </c>
      <c r="E307" s="18">
        <f t="shared" si="33"/>
        <v>16.57403789373712</v>
      </c>
      <c r="F307" s="1">
        <f t="shared" si="38"/>
        <v>80</v>
      </c>
      <c r="G307" s="9">
        <f t="shared" si="34"/>
        <v>0</v>
      </c>
      <c r="H307" s="9">
        <f t="shared" si="35"/>
        <v>80</v>
      </c>
      <c r="I307" s="9">
        <f t="shared" si="36"/>
        <v>0</v>
      </c>
      <c r="J307" s="9">
        <f t="shared" si="37"/>
        <v>0</v>
      </c>
      <c r="K307" s="1">
        <f t="shared" si="39"/>
        <v>80</v>
      </c>
      <c r="L307" s="1"/>
      <c r="M307" s="3"/>
      <c r="N307" s="3"/>
      <c r="O307" s="3"/>
      <c r="P307" s="3"/>
      <c r="Q307" s="3"/>
      <c r="R307" s="1"/>
    </row>
    <row r="308" spans="2:18" x14ac:dyDescent="0.2">
      <c r="B308">
        <v>296</v>
      </c>
      <c r="C308" s="1">
        <v>-0.53566912390559174</v>
      </c>
      <c r="D308" s="1">
        <f t="shared" si="32"/>
        <v>63.673515802664362</v>
      </c>
      <c r="E308" s="18">
        <f t="shared" si="33"/>
        <v>16.326484197335638</v>
      </c>
      <c r="F308" s="1">
        <f t="shared" si="38"/>
        <v>80</v>
      </c>
      <c r="G308" s="9">
        <f t="shared" si="34"/>
        <v>0</v>
      </c>
      <c r="H308" s="9">
        <f t="shared" si="35"/>
        <v>80</v>
      </c>
      <c r="I308" s="9">
        <f t="shared" si="36"/>
        <v>0</v>
      </c>
      <c r="J308" s="9">
        <f t="shared" si="37"/>
        <v>0</v>
      </c>
      <c r="K308" s="1">
        <f t="shared" si="39"/>
        <v>80</v>
      </c>
      <c r="L308" s="1"/>
      <c r="M308" s="3"/>
      <c r="N308" s="3"/>
      <c r="O308" s="3"/>
      <c r="P308" s="3"/>
      <c r="Q308" s="3"/>
      <c r="R308" s="1"/>
    </row>
    <row r="309" spans="2:18" x14ac:dyDescent="0.2">
      <c r="B309">
        <v>297</v>
      </c>
      <c r="C309" s="1">
        <v>-0.53438932563451058</v>
      </c>
      <c r="D309" s="1">
        <f t="shared" si="32"/>
        <v>63.722428132898422</v>
      </c>
      <c r="E309" s="18">
        <f t="shared" si="33"/>
        <v>16.277571867101578</v>
      </c>
      <c r="F309" s="1">
        <f t="shared" si="38"/>
        <v>80</v>
      </c>
      <c r="G309" s="9">
        <f t="shared" si="34"/>
        <v>0</v>
      </c>
      <c r="H309" s="9">
        <f t="shared" si="35"/>
        <v>80</v>
      </c>
      <c r="I309" s="9">
        <f t="shared" si="36"/>
        <v>0</v>
      </c>
      <c r="J309" s="9">
        <f t="shared" si="37"/>
        <v>0</v>
      </c>
      <c r="K309" s="1">
        <f t="shared" si="39"/>
        <v>80</v>
      </c>
      <c r="L309" s="1"/>
      <c r="M309" s="3"/>
      <c r="N309" s="3"/>
      <c r="O309" s="3"/>
      <c r="P309" s="3"/>
      <c r="Q309" s="3"/>
      <c r="R309" s="1"/>
    </row>
    <row r="310" spans="2:18" x14ac:dyDescent="0.2">
      <c r="B310">
        <v>298</v>
      </c>
      <c r="C310" s="1">
        <v>-0.52825430820208974</v>
      </c>
      <c r="D310" s="1">
        <f t="shared" si="32"/>
        <v>63.957423301849268</v>
      </c>
      <c r="E310" s="18">
        <f t="shared" si="33"/>
        <v>16.042576698150732</v>
      </c>
      <c r="F310" s="1">
        <f t="shared" si="38"/>
        <v>80</v>
      </c>
      <c r="G310" s="9">
        <f t="shared" si="34"/>
        <v>0</v>
      </c>
      <c r="H310" s="9">
        <f t="shared" si="35"/>
        <v>80</v>
      </c>
      <c r="I310" s="9">
        <f t="shared" si="36"/>
        <v>0</v>
      </c>
      <c r="J310" s="9">
        <f t="shared" si="37"/>
        <v>0</v>
      </c>
      <c r="K310" s="1">
        <f t="shared" si="39"/>
        <v>80</v>
      </c>
      <c r="L310" s="1"/>
      <c r="M310" s="3"/>
      <c r="N310" s="3"/>
      <c r="O310" s="3"/>
      <c r="P310" s="3"/>
      <c r="Q310" s="3"/>
      <c r="R310" s="1"/>
    </row>
    <row r="311" spans="2:18" x14ac:dyDescent="0.2">
      <c r="B311">
        <v>299</v>
      </c>
      <c r="C311" s="1">
        <v>-0.52425801606657918</v>
      </c>
      <c r="D311" s="1">
        <f t="shared" si="32"/>
        <v>64.110962833583045</v>
      </c>
      <c r="E311" s="18">
        <f t="shared" si="33"/>
        <v>15.889037166416955</v>
      </c>
      <c r="F311" s="1">
        <f t="shared" si="38"/>
        <v>80</v>
      </c>
      <c r="G311" s="9">
        <f t="shared" si="34"/>
        <v>0</v>
      </c>
      <c r="H311" s="9">
        <f t="shared" si="35"/>
        <v>80</v>
      </c>
      <c r="I311" s="9">
        <f t="shared" si="36"/>
        <v>0</v>
      </c>
      <c r="J311" s="9">
        <f t="shared" si="37"/>
        <v>0</v>
      </c>
      <c r="K311" s="1">
        <f t="shared" si="39"/>
        <v>80</v>
      </c>
      <c r="L311" s="1"/>
      <c r="M311" s="3"/>
      <c r="N311" s="3"/>
      <c r="O311" s="3"/>
      <c r="P311" s="3"/>
      <c r="Q311" s="3"/>
      <c r="R311" s="1"/>
    </row>
    <row r="312" spans="2:18" x14ac:dyDescent="0.2">
      <c r="B312">
        <v>300</v>
      </c>
      <c r="C312" s="1">
        <v>-0.52293463559785891</v>
      </c>
      <c r="D312" s="1">
        <f t="shared" si="32"/>
        <v>64.16188896692934</v>
      </c>
      <c r="E312" s="18">
        <f t="shared" si="33"/>
        <v>15.83811103307066</v>
      </c>
      <c r="F312" s="1">
        <f t="shared" si="38"/>
        <v>80</v>
      </c>
      <c r="G312" s="9">
        <f t="shared" si="34"/>
        <v>0</v>
      </c>
      <c r="H312" s="9">
        <f t="shared" si="35"/>
        <v>80</v>
      </c>
      <c r="I312" s="9">
        <f t="shared" si="36"/>
        <v>0</v>
      </c>
      <c r="J312" s="9">
        <f t="shared" si="37"/>
        <v>0</v>
      </c>
      <c r="K312" s="1">
        <f t="shared" si="39"/>
        <v>80</v>
      </c>
      <c r="L312" s="1"/>
      <c r="M312" s="3"/>
      <c r="N312" s="3"/>
      <c r="O312" s="3"/>
      <c r="P312" s="3"/>
      <c r="Q312" s="3"/>
      <c r="R312" s="1"/>
    </row>
    <row r="313" spans="2:18" x14ac:dyDescent="0.2">
      <c r="B313">
        <v>301</v>
      </c>
      <c r="C313" s="1">
        <v>-0.52226647744614163</v>
      </c>
      <c r="D313" s="1">
        <f t="shared" si="32"/>
        <v>64.187616297048066</v>
      </c>
      <c r="E313" s="18">
        <f t="shared" si="33"/>
        <v>15.812383702951934</v>
      </c>
      <c r="F313" s="1">
        <f t="shared" si="38"/>
        <v>80</v>
      </c>
      <c r="G313" s="9">
        <f t="shared" si="34"/>
        <v>0</v>
      </c>
      <c r="H313" s="9">
        <f t="shared" si="35"/>
        <v>80</v>
      </c>
      <c r="I313" s="9">
        <f t="shared" si="36"/>
        <v>0</v>
      </c>
      <c r="J313" s="9">
        <f t="shared" si="37"/>
        <v>0</v>
      </c>
      <c r="K313" s="1">
        <f t="shared" si="39"/>
        <v>80</v>
      </c>
      <c r="L313" s="1"/>
      <c r="M313" s="3"/>
      <c r="N313" s="3"/>
      <c r="O313" s="3"/>
      <c r="P313" s="3"/>
      <c r="Q313" s="3"/>
      <c r="R313" s="1"/>
    </row>
    <row r="314" spans="2:18" x14ac:dyDescent="0.2">
      <c r="B314">
        <v>302</v>
      </c>
      <c r="C314" s="1">
        <v>-0.52073694363107403</v>
      </c>
      <c r="D314" s="1">
        <f t="shared" si="32"/>
        <v>64.246549612842628</v>
      </c>
      <c r="E314" s="18">
        <f t="shared" si="33"/>
        <v>15.753450387157372</v>
      </c>
      <c r="F314" s="1">
        <f t="shared" si="38"/>
        <v>80</v>
      </c>
      <c r="G314" s="9">
        <f t="shared" si="34"/>
        <v>0</v>
      </c>
      <c r="H314" s="9">
        <f t="shared" si="35"/>
        <v>80</v>
      </c>
      <c r="I314" s="9">
        <f t="shared" si="36"/>
        <v>0</v>
      </c>
      <c r="J314" s="9">
        <f t="shared" si="37"/>
        <v>0</v>
      </c>
      <c r="K314" s="1">
        <f t="shared" si="39"/>
        <v>80</v>
      </c>
      <c r="L314" s="1"/>
      <c r="M314" s="3"/>
      <c r="N314" s="3"/>
      <c r="O314" s="3"/>
      <c r="P314" s="3"/>
      <c r="Q314" s="3"/>
      <c r="R314" s="1"/>
    </row>
    <row r="315" spans="2:18" x14ac:dyDescent="0.2">
      <c r="B315">
        <v>303</v>
      </c>
      <c r="C315" s="1">
        <v>-0.51604726046560823</v>
      </c>
      <c r="D315" s="1">
        <f t="shared" si="32"/>
        <v>64.427581765725847</v>
      </c>
      <c r="E315" s="18">
        <f t="shared" si="33"/>
        <v>15.572418234274153</v>
      </c>
      <c r="F315" s="1">
        <f t="shared" si="38"/>
        <v>80</v>
      </c>
      <c r="G315" s="9">
        <f t="shared" si="34"/>
        <v>0</v>
      </c>
      <c r="H315" s="9">
        <f t="shared" si="35"/>
        <v>80</v>
      </c>
      <c r="I315" s="9">
        <f t="shared" si="36"/>
        <v>0</v>
      </c>
      <c r="J315" s="9">
        <f t="shared" si="37"/>
        <v>0</v>
      </c>
      <c r="K315" s="1">
        <f t="shared" si="39"/>
        <v>80</v>
      </c>
      <c r="L315" s="1"/>
      <c r="M315" s="3"/>
      <c r="N315" s="3"/>
      <c r="O315" s="3"/>
      <c r="P315" s="3"/>
      <c r="Q315" s="3"/>
      <c r="R315" s="1"/>
    </row>
    <row r="316" spans="2:18" x14ac:dyDescent="0.2">
      <c r="B316">
        <v>304</v>
      </c>
      <c r="C316" s="1">
        <v>-0.51596054264074587</v>
      </c>
      <c r="D316" s="1">
        <f t="shared" si="32"/>
        <v>64.430934064787436</v>
      </c>
      <c r="E316" s="18">
        <f t="shared" si="33"/>
        <v>15.569065935212564</v>
      </c>
      <c r="F316" s="1">
        <f t="shared" si="38"/>
        <v>80</v>
      </c>
      <c r="G316" s="9">
        <f t="shared" si="34"/>
        <v>0</v>
      </c>
      <c r="H316" s="9">
        <f t="shared" si="35"/>
        <v>80</v>
      </c>
      <c r="I316" s="9">
        <f t="shared" si="36"/>
        <v>0</v>
      </c>
      <c r="J316" s="9">
        <f t="shared" si="37"/>
        <v>0</v>
      </c>
      <c r="K316" s="1">
        <f t="shared" si="39"/>
        <v>80</v>
      </c>
      <c r="L316" s="1"/>
      <c r="M316" s="3"/>
      <c r="N316" s="3"/>
      <c r="O316" s="3"/>
      <c r="P316" s="3"/>
      <c r="Q316" s="3"/>
      <c r="R316" s="1"/>
    </row>
    <row r="317" spans="2:18" x14ac:dyDescent="0.2">
      <c r="B317">
        <v>305</v>
      </c>
      <c r="C317" s="1">
        <v>-0.51422571303661735</v>
      </c>
      <c r="D317" s="1">
        <f t="shared" si="32"/>
        <v>64.498034996436118</v>
      </c>
      <c r="E317" s="18">
        <f t="shared" si="33"/>
        <v>15.501965003563882</v>
      </c>
      <c r="F317" s="1">
        <f t="shared" si="38"/>
        <v>80</v>
      </c>
      <c r="G317" s="9">
        <f t="shared" si="34"/>
        <v>0</v>
      </c>
      <c r="H317" s="9">
        <f t="shared" si="35"/>
        <v>80</v>
      </c>
      <c r="I317" s="9">
        <f t="shared" si="36"/>
        <v>0</v>
      </c>
      <c r="J317" s="9">
        <f t="shared" si="37"/>
        <v>0</v>
      </c>
      <c r="K317" s="1">
        <f t="shared" si="39"/>
        <v>80</v>
      </c>
      <c r="L317" s="1"/>
      <c r="M317" s="3"/>
      <c r="N317" s="3"/>
      <c r="O317" s="3"/>
      <c r="P317" s="3"/>
      <c r="Q317" s="3"/>
      <c r="R317" s="1"/>
    </row>
    <row r="318" spans="2:18" x14ac:dyDescent="0.2">
      <c r="B318">
        <v>306</v>
      </c>
      <c r="C318" s="1">
        <v>-0.51096617642840303</v>
      </c>
      <c r="D318" s="1">
        <f t="shared" si="32"/>
        <v>64.624298648227025</v>
      </c>
      <c r="E318" s="18">
        <f t="shared" si="33"/>
        <v>15.375701351772975</v>
      </c>
      <c r="F318" s="1">
        <f t="shared" si="38"/>
        <v>80</v>
      </c>
      <c r="G318" s="9">
        <f t="shared" si="34"/>
        <v>0</v>
      </c>
      <c r="H318" s="9">
        <f t="shared" si="35"/>
        <v>80</v>
      </c>
      <c r="I318" s="9">
        <f t="shared" si="36"/>
        <v>0</v>
      </c>
      <c r="J318" s="9">
        <f t="shared" si="37"/>
        <v>0</v>
      </c>
      <c r="K318" s="1">
        <f t="shared" si="39"/>
        <v>80</v>
      </c>
      <c r="L318" s="1"/>
      <c r="M318" s="3"/>
      <c r="N318" s="3"/>
      <c r="O318" s="3"/>
      <c r="P318" s="3"/>
      <c r="Q318" s="3"/>
      <c r="R318" s="1"/>
    </row>
    <row r="319" spans="2:18" x14ac:dyDescent="0.2">
      <c r="B319">
        <v>307</v>
      </c>
      <c r="C319" s="1">
        <v>-0.50779688141853685</v>
      </c>
      <c r="D319" s="1">
        <f t="shared" si="32"/>
        <v>64.747303643229785</v>
      </c>
      <c r="E319" s="18">
        <f t="shared" si="33"/>
        <v>15.252696356770215</v>
      </c>
      <c r="F319" s="1">
        <f t="shared" si="38"/>
        <v>80</v>
      </c>
      <c r="G319" s="9">
        <f t="shared" si="34"/>
        <v>0</v>
      </c>
      <c r="H319" s="9">
        <f t="shared" si="35"/>
        <v>80</v>
      </c>
      <c r="I319" s="9">
        <f t="shared" si="36"/>
        <v>0</v>
      </c>
      <c r="J319" s="9">
        <f t="shared" si="37"/>
        <v>0</v>
      </c>
      <c r="K319" s="1">
        <f t="shared" si="39"/>
        <v>80</v>
      </c>
      <c r="L319" s="1"/>
      <c r="M319" s="3"/>
      <c r="N319" s="3"/>
      <c r="O319" s="3"/>
      <c r="P319" s="3"/>
      <c r="Q319" s="3"/>
      <c r="R319" s="1"/>
    </row>
    <row r="320" spans="2:18" x14ac:dyDescent="0.2">
      <c r="B320">
        <v>308</v>
      </c>
      <c r="C320" s="1">
        <v>-0.50751349897991105</v>
      </c>
      <c r="D320" s="1">
        <f t="shared" si="32"/>
        <v>64.758313528486227</v>
      </c>
      <c r="E320" s="18">
        <f t="shared" si="33"/>
        <v>15.241686471513773</v>
      </c>
      <c r="F320" s="1">
        <f t="shared" si="38"/>
        <v>80</v>
      </c>
      <c r="G320" s="9">
        <f t="shared" si="34"/>
        <v>0</v>
      </c>
      <c r="H320" s="9">
        <f t="shared" si="35"/>
        <v>80</v>
      </c>
      <c r="I320" s="9">
        <f t="shared" si="36"/>
        <v>0</v>
      </c>
      <c r="J320" s="9">
        <f t="shared" si="37"/>
        <v>0</v>
      </c>
      <c r="K320" s="1">
        <f t="shared" si="39"/>
        <v>80</v>
      </c>
      <c r="L320" s="1"/>
      <c r="M320" s="3"/>
      <c r="N320" s="3"/>
      <c r="O320" s="3"/>
      <c r="P320" s="3"/>
      <c r="Q320" s="3"/>
      <c r="R320" s="1"/>
    </row>
    <row r="321" spans="2:18" x14ac:dyDescent="0.2">
      <c r="B321">
        <v>309</v>
      </c>
      <c r="C321" s="1">
        <v>-0.50404943075038788</v>
      </c>
      <c r="D321" s="1">
        <f t="shared" si="32"/>
        <v>64.893049830600063</v>
      </c>
      <c r="E321" s="18">
        <f t="shared" si="33"/>
        <v>15.106950169399937</v>
      </c>
      <c r="F321" s="1">
        <f t="shared" si="38"/>
        <v>80</v>
      </c>
      <c r="G321" s="9">
        <f t="shared" si="34"/>
        <v>0</v>
      </c>
      <c r="H321" s="9">
        <f t="shared" si="35"/>
        <v>80</v>
      </c>
      <c r="I321" s="9">
        <f t="shared" si="36"/>
        <v>0</v>
      </c>
      <c r="J321" s="9">
        <f t="shared" si="37"/>
        <v>0</v>
      </c>
      <c r="K321" s="1">
        <f t="shared" si="39"/>
        <v>80</v>
      </c>
      <c r="L321" s="1"/>
      <c r="M321" s="3"/>
      <c r="N321" s="3"/>
      <c r="O321" s="3"/>
      <c r="P321" s="3"/>
      <c r="Q321" s="3"/>
      <c r="R321" s="1"/>
    </row>
    <row r="322" spans="2:18" x14ac:dyDescent="0.2">
      <c r="B322">
        <v>310</v>
      </c>
      <c r="C322" s="1">
        <v>-0.49909375697740022</v>
      </c>
      <c r="D322" s="1">
        <f t="shared" si="32"/>
        <v>65.0862902502287</v>
      </c>
      <c r="E322" s="18">
        <f t="shared" si="33"/>
        <v>14.9137097497713</v>
      </c>
      <c r="F322" s="1">
        <f t="shared" si="38"/>
        <v>80</v>
      </c>
      <c r="G322" s="9">
        <f t="shared" si="34"/>
        <v>0</v>
      </c>
      <c r="H322" s="9">
        <f t="shared" si="35"/>
        <v>80</v>
      </c>
      <c r="I322" s="9">
        <f t="shared" si="36"/>
        <v>0</v>
      </c>
      <c r="J322" s="9">
        <f t="shared" si="37"/>
        <v>0</v>
      </c>
      <c r="K322" s="1">
        <f t="shared" si="39"/>
        <v>80</v>
      </c>
      <c r="L322" s="1"/>
      <c r="M322" s="3"/>
      <c r="N322" s="3"/>
      <c r="O322" s="3"/>
      <c r="P322" s="3"/>
      <c r="Q322" s="3"/>
      <c r="R322" s="1"/>
    </row>
    <row r="323" spans="2:18" x14ac:dyDescent="0.2">
      <c r="B323">
        <v>311</v>
      </c>
      <c r="C323" s="1">
        <v>-0.49820017989288751</v>
      </c>
      <c r="D323" s="1">
        <f t="shared" si="32"/>
        <v>65.12119537700913</v>
      </c>
      <c r="E323" s="18">
        <f t="shared" si="33"/>
        <v>14.87880462299087</v>
      </c>
      <c r="F323" s="1">
        <f t="shared" si="38"/>
        <v>80</v>
      </c>
      <c r="G323" s="9">
        <f t="shared" si="34"/>
        <v>0</v>
      </c>
      <c r="H323" s="9">
        <f t="shared" si="35"/>
        <v>80</v>
      </c>
      <c r="I323" s="9">
        <f t="shared" si="36"/>
        <v>0</v>
      </c>
      <c r="J323" s="9">
        <f t="shared" si="37"/>
        <v>0</v>
      </c>
      <c r="K323" s="1">
        <f t="shared" si="39"/>
        <v>80</v>
      </c>
      <c r="L323" s="1"/>
      <c r="M323" s="3"/>
      <c r="N323" s="3"/>
      <c r="O323" s="3"/>
      <c r="P323" s="3"/>
      <c r="Q323" s="3"/>
      <c r="R323" s="1"/>
    </row>
    <row r="324" spans="2:18" x14ac:dyDescent="0.2">
      <c r="B324">
        <v>312</v>
      </c>
      <c r="C324" s="1">
        <v>-0.49538310728248708</v>
      </c>
      <c r="D324" s="1">
        <f t="shared" si="32"/>
        <v>65.231359134084371</v>
      </c>
      <c r="E324" s="18">
        <f t="shared" si="33"/>
        <v>14.768640865915629</v>
      </c>
      <c r="F324" s="1">
        <f t="shared" si="38"/>
        <v>80</v>
      </c>
      <c r="G324" s="9">
        <f t="shared" si="34"/>
        <v>0</v>
      </c>
      <c r="H324" s="9">
        <f t="shared" si="35"/>
        <v>80</v>
      </c>
      <c r="I324" s="9">
        <f t="shared" si="36"/>
        <v>0</v>
      </c>
      <c r="J324" s="9">
        <f t="shared" si="37"/>
        <v>0</v>
      </c>
      <c r="K324" s="1">
        <f t="shared" si="39"/>
        <v>80</v>
      </c>
      <c r="L324" s="1"/>
      <c r="M324" s="3"/>
      <c r="N324" s="3"/>
      <c r="O324" s="3"/>
      <c r="P324" s="3"/>
      <c r="Q324" s="3"/>
      <c r="R324" s="1"/>
    </row>
    <row r="325" spans="2:18" x14ac:dyDescent="0.2">
      <c r="B325">
        <v>313</v>
      </c>
      <c r="C325" s="1">
        <v>-0.49479373017448569</v>
      </c>
      <c r="D325" s="1">
        <f t="shared" si="32"/>
        <v>65.254430735084441</v>
      </c>
      <c r="E325" s="18">
        <f t="shared" si="33"/>
        <v>14.745569264915559</v>
      </c>
      <c r="F325" s="1">
        <f t="shared" si="38"/>
        <v>80</v>
      </c>
      <c r="G325" s="9">
        <f t="shared" si="34"/>
        <v>0</v>
      </c>
      <c r="H325" s="9">
        <f t="shared" si="35"/>
        <v>80</v>
      </c>
      <c r="I325" s="9">
        <f t="shared" si="36"/>
        <v>0</v>
      </c>
      <c r="J325" s="9">
        <f t="shared" si="37"/>
        <v>0</v>
      </c>
      <c r="K325" s="1">
        <f t="shared" si="39"/>
        <v>80</v>
      </c>
      <c r="L325" s="1"/>
      <c r="M325" s="3"/>
      <c r="N325" s="3"/>
      <c r="O325" s="3"/>
      <c r="P325" s="3"/>
      <c r="Q325" s="3"/>
      <c r="R325" s="1"/>
    </row>
    <row r="326" spans="2:18" x14ac:dyDescent="0.2">
      <c r="B326">
        <v>314</v>
      </c>
      <c r="C326" s="1">
        <v>-0.48885314462551127</v>
      </c>
      <c r="D326" s="1">
        <f t="shared" si="32"/>
        <v>65.487435460689071</v>
      </c>
      <c r="E326" s="18">
        <f t="shared" si="33"/>
        <v>14.512564539310929</v>
      </c>
      <c r="F326" s="1">
        <f t="shared" si="38"/>
        <v>80</v>
      </c>
      <c r="G326" s="9">
        <f t="shared" si="34"/>
        <v>0</v>
      </c>
      <c r="H326" s="9">
        <f t="shared" si="35"/>
        <v>80</v>
      </c>
      <c r="I326" s="9">
        <f t="shared" si="36"/>
        <v>0</v>
      </c>
      <c r="J326" s="9">
        <f t="shared" si="37"/>
        <v>0</v>
      </c>
      <c r="K326" s="1">
        <f t="shared" si="39"/>
        <v>80</v>
      </c>
      <c r="L326" s="1"/>
      <c r="M326" s="3"/>
      <c r="N326" s="3"/>
      <c r="O326" s="3"/>
      <c r="P326" s="3"/>
      <c r="Q326" s="3"/>
      <c r="R326" s="1"/>
    </row>
    <row r="327" spans="2:18" x14ac:dyDescent="0.2">
      <c r="B327">
        <v>315</v>
      </c>
      <c r="C327" s="1">
        <v>-0.47911937603273891</v>
      </c>
      <c r="D327" s="1">
        <f t="shared" si="32"/>
        <v>65.871018207612366</v>
      </c>
      <c r="E327" s="18">
        <f t="shared" si="33"/>
        <v>14.128981792387634</v>
      </c>
      <c r="F327" s="1">
        <f t="shared" si="38"/>
        <v>80</v>
      </c>
      <c r="G327" s="9">
        <f t="shared" si="34"/>
        <v>0</v>
      </c>
      <c r="H327" s="9">
        <f t="shared" si="35"/>
        <v>80</v>
      </c>
      <c r="I327" s="9">
        <f t="shared" si="36"/>
        <v>0</v>
      </c>
      <c r="J327" s="9">
        <f t="shared" si="37"/>
        <v>0</v>
      </c>
      <c r="K327" s="1">
        <f t="shared" si="39"/>
        <v>80</v>
      </c>
      <c r="L327" s="1"/>
      <c r="M327" s="3"/>
      <c r="N327" s="3"/>
      <c r="O327" s="3"/>
      <c r="P327" s="3"/>
      <c r="Q327" s="3"/>
      <c r="R327" s="1"/>
    </row>
    <row r="328" spans="2:18" x14ac:dyDescent="0.2">
      <c r="B328">
        <v>316</v>
      </c>
      <c r="C328" s="1">
        <v>-0.47099676570454446</v>
      </c>
      <c r="D328" s="1">
        <f t="shared" si="32"/>
        <v>66.192828520276109</v>
      </c>
      <c r="E328" s="18">
        <f t="shared" si="33"/>
        <v>13.807171479723891</v>
      </c>
      <c r="F328" s="1">
        <f t="shared" si="38"/>
        <v>80</v>
      </c>
      <c r="G328" s="9">
        <f t="shared" si="34"/>
        <v>0</v>
      </c>
      <c r="H328" s="9">
        <f t="shared" si="35"/>
        <v>80</v>
      </c>
      <c r="I328" s="9">
        <f t="shared" si="36"/>
        <v>0</v>
      </c>
      <c r="J328" s="9">
        <f t="shared" si="37"/>
        <v>0</v>
      </c>
      <c r="K328" s="1">
        <f t="shared" si="39"/>
        <v>80</v>
      </c>
      <c r="L328" s="1"/>
      <c r="M328" s="3"/>
      <c r="N328" s="3"/>
      <c r="O328" s="3"/>
      <c r="P328" s="3"/>
      <c r="Q328" s="3"/>
      <c r="R328" s="1"/>
    </row>
    <row r="329" spans="2:18" x14ac:dyDescent="0.2">
      <c r="B329">
        <v>317</v>
      </c>
      <c r="C329" s="1">
        <v>-0.46807689186048845</v>
      </c>
      <c r="D329" s="1">
        <f t="shared" si="32"/>
        <v>66.308894985616959</v>
      </c>
      <c r="E329" s="18">
        <f t="shared" si="33"/>
        <v>13.691105014383041</v>
      </c>
      <c r="F329" s="1">
        <f t="shared" si="38"/>
        <v>80</v>
      </c>
      <c r="G329" s="9">
        <f t="shared" si="34"/>
        <v>0</v>
      </c>
      <c r="H329" s="9">
        <f t="shared" si="35"/>
        <v>80</v>
      </c>
      <c r="I329" s="9">
        <f t="shared" si="36"/>
        <v>0</v>
      </c>
      <c r="J329" s="9">
        <f t="shared" si="37"/>
        <v>0</v>
      </c>
      <c r="K329" s="1">
        <f t="shared" si="39"/>
        <v>80</v>
      </c>
      <c r="L329" s="1"/>
      <c r="M329" s="3"/>
      <c r="N329" s="3"/>
      <c r="O329" s="3"/>
      <c r="P329" s="3"/>
      <c r="Q329" s="3"/>
      <c r="R329" s="1"/>
    </row>
    <row r="330" spans="2:18" x14ac:dyDescent="0.2">
      <c r="B330">
        <v>318</v>
      </c>
      <c r="C330" s="1">
        <v>-0.46147982330555776</v>
      </c>
      <c r="D330" s="1">
        <f t="shared" si="32"/>
        <v>66.571881720319652</v>
      </c>
      <c r="E330" s="18">
        <f t="shared" si="33"/>
        <v>13.428118279680348</v>
      </c>
      <c r="F330" s="1">
        <f t="shared" si="38"/>
        <v>80</v>
      </c>
      <c r="G330" s="9">
        <f t="shared" si="34"/>
        <v>0</v>
      </c>
      <c r="H330" s="9">
        <f t="shared" si="35"/>
        <v>80</v>
      </c>
      <c r="I330" s="9">
        <f t="shared" si="36"/>
        <v>0</v>
      </c>
      <c r="J330" s="9">
        <f t="shared" si="37"/>
        <v>0</v>
      </c>
      <c r="K330" s="1">
        <f t="shared" si="39"/>
        <v>80</v>
      </c>
      <c r="L330" s="1"/>
      <c r="M330" s="3"/>
      <c r="N330" s="3"/>
      <c r="O330" s="3"/>
      <c r="P330" s="3"/>
      <c r="Q330" s="3"/>
      <c r="R330" s="1"/>
    </row>
    <row r="331" spans="2:18" x14ac:dyDescent="0.2">
      <c r="B331">
        <v>319</v>
      </c>
      <c r="C331" s="1">
        <v>-0.45498840152670011</v>
      </c>
      <c r="D331" s="1">
        <f t="shared" si="32"/>
        <v>66.831675017976707</v>
      </c>
      <c r="E331" s="18">
        <f t="shared" si="33"/>
        <v>13.168324982023293</v>
      </c>
      <c r="F331" s="1">
        <f t="shared" si="38"/>
        <v>80</v>
      </c>
      <c r="G331" s="9">
        <f t="shared" si="34"/>
        <v>0</v>
      </c>
      <c r="H331" s="9">
        <f t="shared" si="35"/>
        <v>80</v>
      </c>
      <c r="I331" s="9">
        <f t="shared" si="36"/>
        <v>0</v>
      </c>
      <c r="J331" s="9">
        <f t="shared" si="37"/>
        <v>0</v>
      </c>
      <c r="K331" s="1">
        <f t="shared" si="39"/>
        <v>80</v>
      </c>
      <c r="L331" s="1"/>
      <c r="M331" s="3"/>
      <c r="N331" s="3"/>
      <c r="O331" s="3"/>
      <c r="P331" s="3"/>
      <c r="Q331" s="3"/>
      <c r="R331" s="1"/>
    </row>
    <row r="332" spans="2:18" x14ac:dyDescent="0.2">
      <c r="B332">
        <v>320</v>
      </c>
      <c r="C332" s="1">
        <v>-0.45403603008446786</v>
      </c>
      <c r="D332" s="1">
        <f t="shared" si="32"/>
        <v>66.869875078365453</v>
      </c>
      <c r="E332" s="18">
        <f t="shared" si="33"/>
        <v>13.130124921634547</v>
      </c>
      <c r="F332" s="1">
        <f t="shared" si="38"/>
        <v>80</v>
      </c>
      <c r="G332" s="9">
        <f t="shared" si="34"/>
        <v>0</v>
      </c>
      <c r="H332" s="9">
        <f t="shared" si="35"/>
        <v>80</v>
      </c>
      <c r="I332" s="9">
        <f t="shared" si="36"/>
        <v>0</v>
      </c>
      <c r="J332" s="9">
        <f t="shared" si="37"/>
        <v>0</v>
      </c>
      <c r="K332" s="1">
        <f t="shared" si="39"/>
        <v>80</v>
      </c>
      <c r="L332" s="1"/>
      <c r="M332" s="3"/>
      <c r="N332" s="3"/>
      <c r="O332" s="3"/>
      <c r="P332" s="3"/>
      <c r="Q332" s="3"/>
      <c r="R332" s="1"/>
    </row>
    <row r="333" spans="2:18" x14ac:dyDescent="0.2">
      <c r="B333">
        <v>321</v>
      </c>
      <c r="C333" s="1">
        <v>-0.4461606800709178</v>
      </c>
      <c r="D333" s="1">
        <f t="shared" ref="D333:D396" si="40">a0*EXP((RR-0.5*sigma^2)*T+sigma*SQRT(T)*C333)</f>
        <v>67.186596980776329</v>
      </c>
      <c r="E333" s="18">
        <f t="shared" ref="E333:E396" si="41">IF(AND(D333&gt;=0, D333&lt;F), F-D333, IF(D333&gt;=F, $E$7, 0))</f>
        <v>12.813403019223671</v>
      </c>
      <c r="F333" s="1">
        <f t="shared" si="38"/>
        <v>80</v>
      </c>
      <c r="G333" s="9">
        <f t="shared" ref="G333:G396" si="42">IF(F333&lt;F,MIN(disc,F333),0)</f>
        <v>0</v>
      </c>
      <c r="H333" s="9">
        <f t="shared" ref="H333:H396" si="43">IF(F333&gt;=F,F,F333-G333)</f>
        <v>80</v>
      </c>
      <c r="I333" s="9">
        <f t="shared" ref="I333:I396" si="44">(1-tax)*(F333-G333-H333)</f>
        <v>0</v>
      </c>
      <c r="J333" s="9">
        <f t="shared" ref="J333:J396" si="45">tax*(F333-G333-H333)</f>
        <v>0</v>
      </c>
      <c r="K333" s="1">
        <f t="shared" si="39"/>
        <v>80</v>
      </c>
      <c r="L333" s="1"/>
      <c r="M333" s="3"/>
      <c r="N333" s="3"/>
      <c r="O333" s="3"/>
      <c r="P333" s="3"/>
      <c r="Q333" s="3"/>
      <c r="R333" s="1"/>
    </row>
    <row r="334" spans="2:18" x14ac:dyDescent="0.2">
      <c r="B334">
        <v>322</v>
      </c>
      <c r="C334" s="1">
        <v>-0.44208957792576531</v>
      </c>
      <c r="D334" s="1">
        <f t="shared" si="40"/>
        <v>67.350911681111469</v>
      </c>
      <c r="E334" s="18">
        <f t="shared" si="41"/>
        <v>12.649088318888531</v>
      </c>
      <c r="F334" s="1">
        <f t="shared" ref="F334:F397" si="46">D334+E334</f>
        <v>80</v>
      </c>
      <c r="G334" s="9">
        <f t="shared" si="42"/>
        <v>0</v>
      </c>
      <c r="H334" s="9">
        <f t="shared" si="43"/>
        <v>80</v>
      </c>
      <c r="I334" s="9">
        <f t="shared" si="44"/>
        <v>0</v>
      </c>
      <c r="J334" s="9">
        <f t="shared" si="45"/>
        <v>0</v>
      </c>
      <c r="K334" s="1">
        <f t="shared" ref="K334:K397" si="47">SUM(G334:J334)</f>
        <v>80</v>
      </c>
      <c r="L334" s="1"/>
      <c r="M334" s="3"/>
      <c r="N334" s="3"/>
      <c r="O334" s="3"/>
      <c r="P334" s="3"/>
      <c r="Q334" s="3"/>
      <c r="R334" s="1"/>
    </row>
    <row r="335" spans="2:18" x14ac:dyDescent="0.2">
      <c r="B335">
        <v>323</v>
      </c>
      <c r="C335" s="1">
        <v>-0.4378242070117585</v>
      </c>
      <c r="D335" s="1">
        <f t="shared" si="40"/>
        <v>67.523498402657907</v>
      </c>
      <c r="E335" s="18">
        <f t="shared" si="41"/>
        <v>12.476501597342093</v>
      </c>
      <c r="F335" s="1">
        <f t="shared" si="46"/>
        <v>80</v>
      </c>
      <c r="G335" s="9">
        <f t="shared" si="42"/>
        <v>0</v>
      </c>
      <c r="H335" s="9">
        <f t="shared" si="43"/>
        <v>80</v>
      </c>
      <c r="I335" s="9">
        <f t="shared" si="44"/>
        <v>0</v>
      </c>
      <c r="J335" s="9">
        <f t="shared" si="45"/>
        <v>0</v>
      </c>
      <c r="K335" s="1">
        <f t="shared" si="47"/>
        <v>80</v>
      </c>
      <c r="L335" s="1"/>
      <c r="M335" s="3"/>
      <c r="N335" s="3"/>
      <c r="O335" s="3"/>
      <c r="P335" s="3"/>
      <c r="Q335" s="3"/>
      <c r="R335" s="1"/>
    </row>
    <row r="336" spans="2:18" x14ac:dyDescent="0.2">
      <c r="B336">
        <v>324</v>
      </c>
      <c r="C336" s="1">
        <v>-0.43711355747069242</v>
      </c>
      <c r="D336" s="1">
        <f t="shared" si="40"/>
        <v>67.552295867583794</v>
      </c>
      <c r="E336" s="18">
        <f t="shared" si="41"/>
        <v>12.447704132416206</v>
      </c>
      <c r="F336" s="1">
        <f t="shared" si="46"/>
        <v>80</v>
      </c>
      <c r="G336" s="9">
        <f t="shared" si="42"/>
        <v>0</v>
      </c>
      <c r="H336" s="9">
        <f t="shared" si="43"/>
        <v>80</v>
      </c>
      <c r="I336" s="9">
        <f t="shared" si="44"/>
        <v>0</v>
      </c>
      <c r="J336" s="9">
        <f t="shared" si="45"/>
        <v>0</v>
      </c>
      <c r="K336" s="1">
        <f t="shared" si="47"/>
        <v>80</v>
      </c>
      <c r="L336" s="1"/>
      <c r="M336" s="3"/>
      <c r="N336" s="3"/>
      <c r="O336" s="3"/>
      <c r="P336" s="3"/>
      <c r="Q336" s="3"/>
      <c r="R336" s="1"/>
    </row>
    <row r="337" spans="2:18" x14ac:dyDescent="0.2">
      <c r="B337">
        <v>325</v>
      </c>
      <c r="C337" s="1">
        <v>-0.43687944107908405</v>
      </c>
      <c r="D337" s="1">
        <f t="shared" si="40"/>
        <v>67.561785593930352</v>
      </c>
      <c r="E337" s="18">
        <f t="shared" si="41"/>
        <v>12.438214406069648</v>
      </c>
      <c r="F337" s="1">
        <f t="shared" si="46"/>
        <v>80</v>
      </c>
      <c r="G337" s="9">
        <f t="shared" si="42"/>
        <v>0</v>
      </c>
      <c r="H337" s="9">
        <f t="shared" si="43"/>
        <v>80</v>
      </c>
      <c r="I337" s="9">
        <f t="shared" si="44"/>
        <v>0</v>
      </c>
      <c r="J337" s="9">
        <f t="shared" si="45"/>
        <v>0</v>
      </c>
      <c r="K337" s="1">
        <f t="shared" si="47"/>
        <v>80</v>
      </c>
      <c r="L337" s="1"/>
      <c r="M337" s="3"/>
      <c r="N337" s="3"/>
      <c r="O337" s="3"/>
      <c r="P337" s="3"/>
      <c r="Q337" s="3"/>
      <c r="R337" s="1"/>
    </row>
    <row r="338" spans="2:18" x14ac:dyDescent="0.2">
      <c r="B338">
        <v>326</v>
      </c>
      <c r="C338" s="1">
        <v>-0.43669694922002034</v>
      </c>
      <c r="D338" s="1">
        <f t="shared" si="40"/>
        <v>67.569183684463169</v>
      </c>
      <c r="E338" s="18">
        <f t="shared" si="41"/>
        <v>12.430816315536831</v>
      </c>
      <c r="F338" s="1">
        <f t="shared" si="46"/>
        <v>80</v>
      </c>
      <c r="G338" s="9">
        <f t="shared" si="42"/>
        <v>0</v>
      </c>
      <c r="H338" s="9">
        <f t="shared" si="43"/>
        <v>80</v>
      </c>
      <c r="I338" s="9">
        <f t="shared" si="44"/>
        <v>0</v>
      </c>
      <c r="J338" s="9">
        <f t="shared" si="45"/>
        <v>0</v>
      </c>
      <c r="K338" s="1">
        <f t="shared" si="47"/>
        <v>80</v>
      </c>
      <c r="L338" s="1"/>
      <c r="M338" s="3"/>
      <c r="N338" s="3"/>
      <c r="O338" s="3"/>
      <c r="P338" s="3"/>
      <c r="Q338" s="3"/>
      <c r="R338" s="1"/>
    </row>
    <row r="339" spans="2:18" x14ac:dyDescent="0.2">
      <c r="B339">
        <v>327</v>
      </c>
      <c r="C339" s="1">
        <v>-0.43592772651256861</v>
      </c>
      <c r="D339" s="1">
        <f t="shared" si="40"/>
        <v>67.600376332385835</v>
      </c>
      <c r="E339" s="18">
        <f t="shared" si="41"/>
        <v>12.399623667614165</v>
      </c>
      <c r="F339" s="1">
        <f t="shared" si="46"/>
        <v>80</v>
      </c>
      <c r="G339" s="9">
        <f t="shared" si="42"/>
        <v>0</v>
      </c>
      <c r="H339" s="9">
        <f t="shared" si="43"/>
        <v>80</v>
      </c>
      <c r="I339" s="9">
        <f t="shared" si="44"/>
        <v>0</v>
      </c>
      <c r="J339" s="9">
        <f t="shared" si="45"/>
        <v>0</v>
      </c>
      <c r="K339" s="1">
        <f t="shared" si="47"/>
        <v>80</v>
      </c>
      <c r="L339" s="1"/>
      <c r="M339" s="3"/>
      <c r="N339" s="3"/>
      <c r="O339" s="3"/>
      <c r="P339" s="3"/>
      <c r="Q339" s="3"/>
      <c r="R339" s="1"/>
    </row>
    <row r="340" spans="2:18" x14ac:dyDescent="0.2">
      <c r="B340">
        <v>328</v>
      </c>
      <c r="C340" s="1">
        <v>-0.43539741399130744</v>
      </c>
      <c r="D340" s="1">
        <f t="shared" si="40"/>
        <v>67.621889350397808</v>
      </c>
      <c r="E340" s="18">
        <f t="shared" si="41"/>
        <v>12.378110649602192</v>
      </c>
      <c r="F340" s="1">
        <f t="shared" si="46"/>
        <v>80</v>
      </c>
      <c r="G340" s="9">
        <f t="shared" si="42"/>
        <v>0</v>
      </c>
      <c r="H340" s="9">
        <f t="shared" si="43"/>
        <v>80</v>
      </c>
      <c r="I340" s="9">
        <f t="shared" si="44"/>
        <v>0</v>
      </c>
      <c r="J340" s="9">
        <f t="shared" si="45"/>
        <v>0</v>
      </c>
      <c r="K340" s="1">
        <f t="shared" si="47"/>
        <v>80</v>
      </c>
      <c r="L340" s="1"/>
      <c r="M340" s="3"/>
      <c r="N340" s="3"/>
      <c r="O340" s="3"/>
      <c r="P340" s="3"/>
      <c r="Q340" s="3"/>
      <c r="R340" s="1"/>
    </row>
    <row r="341" spans="2:18" x14ac:dyDescent="0.2">
      <c r="B341">
        <v>329</v>
      </c>
      <c r="C341" s="1">
        <v>-0.43508718000440366</v>
      </c>
      <c r="D341" s="1">
        <f t="shared" si="40"/>
        <v>67.634477686961489</v>
      </c>
      <c r="E341" s="18">
        <f t="shared" si="41"/>
        <v>12.365522313038511</v>
      </c>
      <c r="F341" s="1">
        <f t="shared" si="46"/>
        <v>80</v>
      </c>
      <c r="G341" s="9">
        <f t="shared" si="42"/>
        <v>0</v>
      </c>
      <c r="H341" s="9">
        <f t="shared" si="43"/>
        <v>80</v>
      </c>
      <c r="I341" s="9">
        <f t="shared" si="44"/>
        <v>0</v>
      </c>
      <c r="J341" s="9">
        <f t="shared" si="45"/>
        <v>0</v>
      </c>
      <c r="K341" s="1">
        <f t="shared" si="47"/>
        <v>80</v>
      </c>
      <c r="L341" s="1"/>
      <c r="M341" s="3"/>
      <c r="N341" s="3"/>
      <c r="O341" s="3"/>
      <c r="P341" s="3"/>
      <c r="Q341" s="3"/>
      <c r="R341" s="1"/>
    </row>
    <row r="342" spans="2:18" x14ac:dyDescent="0.2">
      <c r="B342">
        <v>330</v>
      </c>
      <c r="C342" s="1">
        <v>-0.42817754819369147</v>
      </c>
      <c r="D342" s="1">
        <f t="shared" si="40"/>
        <v>67.915457327391721</v>
      </c>
      <c r="E342" s="18">
        <f t="shared" si="41"/>
        <v>12.084542672608279</v>
      </c>
      <c r="F342" s="1">
        <f t="shared" si="46"/>
        <v>80</v>
      </c>
      <c r="G342" s="9">
        <f t="shared" si="42"/>
        <v>0</v>
      </c>
      <c r="H342" s="9">
        <f t="shared" si="43"/>
        <v>80</v>
      </c>
      <c r="I342" s="9">
        <f t="shared" si="44"/>
        <v>0</v>
      </c>
      <c r="J342" s="9">
        <f t="shared" si="45"/>
        <v>0</v>
      </c>
      <c r="K342" s="1">
        <f t="shared" si="47"/>
        <v>80</v>
      </c>
      <c r="L342" s="1"/>
      <c r="M342" s="3"/>
      <c r="N342" s="3"/>
      <c r="O342" s="3"/>
      <c r="P342" s="3"/>
      <c r="Q342" s="3"/>
      <c r="R342" s="1"/>
    </row>
    <row r="343" spans="2:18" x14ac:dyDescent="0.2">
      <c r="B343">
        <v>331</v>
      </c>
      <c r="C343" s="1">
        <v>-0.4238021818843381</v>
      </c>
      <c r="D343" s="1">
        <f t="shared" si="40"/>
        <v>68.09398456380228</v>
      </c>
      <c r="E343" s="18">
        <f t="shared" si="41"/>
        <v>11.90601543619772</v>
      </c>
      <c r="F343" s="1">
        <f t="shared" si="46"/>
        <v>80</v>
      </c>
      <c r="G343" s="9">
        <f t="shared" si="42"/>
        <v>0</v>
      </c>
      <c r="H343" s="9">
        <f t="shared" si="43"/>
        <v>80</v>
      </c>
      <c r="I343" s="9">
        <f t="shared" si="44"/>
        <v>0</v>
      </c>
      <c r="J343" s="9">
        <f t="shared" si="45"/>
        <v>0</v>
      </c>
      <c r="K343" s="1">
        <f t="shared" si="47"/>
        <v>80</v>
      </c>
      <c r="L343" s="1"/>
      <c r="M343" s="3"/>
      <c r="N343" s="3"/>
      <c r="O343" s="3"/>
      <c r="P343" s="3"/>
      <c r="Q343" s="3"/>
      <c r="R343" s="1"/>
    </row>
    <row r="344" spans="2:18" x14ac:dyDescent="0.2">
      <c r="B344">
        <v>332</v>
      </c>
      <c r="C344" s="1">
        <v>-0.4203799964217434</v>
      </c>
      <c r="D344" s="1">
        <f t="shared" si="40"/>
        <v>68.233946353627388</v>
      </c>
      <c r="E344" s="18">
        <f t="shared" si="41"/>
        <v>11.766053646372612</v>
      </c>
      <c r="F344" s="1">
        <f t="shared" si="46"/>
        <v>80</v>
      </c>
      <c r="G344" s="9">
        <f t="shared" si="42"/>
        <v>0</v>
      </c>
      <c r="H344" s="9">
        <f t="shared" si="43"/>
        <v>80</v>
      </c>
      <c r="I344" s="9">
        <f t="shared" si="44"/>
        <v>0</v>
      </c>
      <c r="J344" s="9">
        <f t="shared" si="45"/>
        <v>0</v>
      </c>
      <c r="K344" s="1">
        <f t="shared" si="47"/>
        <v>80</v>
      </c>
      <c r="L344" s="1"/>
      <c r="M344" s="3"/>
      <c r="N344" s="3"/>
      <c r="O344" s="3"/>
      <c r="P344" s="3"/>
      <c r="Q344" s="3"/>
      <c r="R344" s="1"/>
    </row>
    <row r="345" spans="2:18" x14ac:dyDescent="0.2">
      <c r="B345">
        <v>333</v>
      </c>
      <c r="C345" s="1">
        <v>-0.41980619968286897</v>
      </c>
      <c r="D345" s="1">
        <f t="shared" si="40"/>
        <v>68.257441847425596</v>
      </c>
      <c r="E345" s="18">
        <f t="shared" si="41"/>
        <v>11.742558152574404</v>
      </c>
      <c r="F345" s="1">
        <f t="shared" si="46"/>
        <v>80</v>
      </c>
      <c r="G345" s="9">
        <f t="shared" si="42"/>
        <v>0</v>
      </c>
      <c r="H345" s="9">
        <f t="shared" si="43"/>
        <v>80</v>
      </c>
      <c r="I345" s="9">
        <f t="shared" si="44"/>
        <v>0</v>
      </c>
      <c r="J345" s="9">
        <f t="shared" si="45"/>
        <v>0</v>
      </c>
      <c r="K345" s="1">
        <f t="shared" si="47"/>
        <v>80</v>
      </c>
      <c r="L345" s="1"/>
      <c r="M345" s="3"/>
      <c r="N345" s="3"/>
      <c r="O345" s="3"/>
      <c r="P345" s="3"/>
      <c r="Q345" s="3"/>
      <c r="R345" s="1"/>
    </row>
    <row r="346" spans="2:18" x14ac:dyDescent="0.2">
      <c r="B346">
        <v>334</v>
      </c>
      <c r="C346" s="1">
        <v>-0.41925613227493741</v>
      </c>
      <c r="D346" s="1">
        <f t="shared" si="40"/>
        <v>68.279973281828816</v>
      </c>
      <c r="E346" s="18">
        <f t="shared" si="41"/>
        <v>11.720026718171184</v>
      </c>
      <c r="F346" s="1">
        <f t="shared" si="46"/>
        <v>80</v>
      </c>
      <c r="G346" s="9">
        <f t="shared" si="42"/>
        <v>0</v>
      </c>
      <c r="H346" s="9">
        <f t="shared" si="43"/>
        <v>80</v>
      </c>
      <c r="I346" s="9">
        <f t="shared" si="44"/>
        <v>0</v>
      </c>
      <c r="J346" s="9">
        <f t="shared" si="45"/>
        <v>0</v>
      </c>
      <c r="K346" s="1">
        <f t="shared" si="47"/>
        <v>80</v>
      </c>
      <c r="L346" s="1"/>
      <c r="M346" s="3"/>
      <c r="N346" s="3"/>
      <c r="O346" s="3"/>
      <c r="P346" s="3"/>
      <c r="Q346" s="3"/>
      <c r="R346" s="1"/>
    </row>
    <row r="347" spans="2:18" x14ac:dyDescent="0.2">
      <c r="B347">
        <v>335</v>
      </c>
      <c r="C347" s="1">
        <v>-0.4171893879884761</v>
      </c>
      <c r="D347" s="1">
        <f t="shared" si="40"/>
        <v>68.364696147917968</v>
      </c>
      <c r="E347" s="18">
        <f t="shared" si="41"/>
        <v>11.635303852082032</v>
      </c>
      <c r="F347" s="1">
        <f t="shared" si="46"/>
        <v>80</v>
      </c>
      <c r="G347" s="9">
        <f t="shared" si="42"/>
        <v>0</v>
      </c>
      <c r="H347" s="9">
        <f t="shared" si="43"/>
        <v>80</v>
      </c>
      <c r="I347" s="9">
        <f t="shared" si="44"/>
        <v>0</v>
      </c>
      <c r="J347" s="9">
        <f t="shared" si="45"/>
        <v>0</v>
      </c>
      <c r="K347" s="1">
        <f t="shared" si="47"/>
        <v>80</v>
      </c>
      <c r="L347" s="1"/>
      <c r="M347" s="3"/>
      <c r="N347" s="3"/>
      <c r="O347" s="3"/>
      <c r="P347" s="3"/>
      <c r="Q347" s="3"/>
      <c r="R347" s="1"/>
    </row>
    <row r="348" spans="2:18" x14ac:dyDescent="0.2">
      <c r="B348">
        <v>336</v>
      </c>
      <c r="C348" s="1">
        <v>-0.41376548321908546</v>
      </c>
      <c r="D348" s="1">
        <f t="shared" si="40"/>
        <v>68.505285032879144</v>
      </c>
      <c r="E348" s="18">
        <f t="shared" si="41"/>
        <v>11.494714967120856</v>
      </c>
      <c r="F348" s="1">
        <f t="shared" si="46"/>
        <v>80</v>
      </c>
      <c r="G348" s="9">
        <f t="shared" si="42"/>
        <v>0</v>
      </c>
      <c r="H348" s="9">
        <f t="shared" si="43"/>
        <v>80</v>
      </c>
      <c r="I348" s="9">
        <f t="shared" si="44"/>
        <v>0</v>
      </c>
      <c r="J348" s="9">
        <f t="shared" si="45"/>
        <v>0</v>
      </c>
      <c r="K348" s="1">
        <f t="shared" si="47"/>
        <v>80</v>
      </c>
      <c r="L348" s="1"/>
      <c r="M348" s="3"/>
      <c r="N348" s="3"/>
      <c r="O348" s="3"/>
      <c r="P348" s="3"/>
      <c r="Q348" s="3"/>
      <c r="R348" s="1"/>
    </row>
    <row r="349" spans="2:18" x14ac:dyDescent="0.2">
      <c r="B349">
        <v>337</v>
      </c>
      <c r="C349" s="1">
        <v>-0.40970534760810945</v>
      </c>
      <c r="D349" s="1">
        <f t="shared" si="40"/>
        <v>68.672372918470913</v>
      </c>
      <c r="E349" s="18">
        <f t="shared" si="41"/>
        <v>11.327627081529087</v>
      </c>
      <c r="F349" s="1">
        <f t="shared" si="46"/>
        <v>80</v>
      </c>
      <c r="G349" s="9">
        <f t="shared" si="42"/>
        <v>0</v>
      </c>
      <c r="H349" s="9">
        <f t="shared" si="43"/>
        <v>80</v>
      </c>
      <c r="I349" s="9">
        <f t="shared" si="44"/>
        <v>0</v>
      </c>
      <c r="J349" s="9">
        <f t="shared" si="45"/>
        <v>0</v>
      </c>
      <c r="K349" s="1">
        <f t="shared" si="47"/>
        <v>80</v>
      </c>
      <c r="L349" s="1"/>
      <c r="M349" s="3"/>
      <c r="N349" s="3"/>
      <c r="O349" s="3"/>
      <c r="P349" s="3"/>
      <c r="Q349" s="3"/>
      <c r="R349" s="1"/>
    </row>
    <row r="350" spans="2:18" x14ac:dyDescent="0.2">
      <c r="B350">
        <v>338</v>
      </c>
      <c r="C350" s="1">
        <v>-0.40959748277786484</v>
      </c>
      <c r="D350" s="1">
        <f t="shared" si="40"/>
        <v>68.676817462600766</v>
      </c>
      <c r="E350" s="18">
        <f t="shared" si="41"/>
        <v>11.323182537399234</v>
      </c>
      <c r="F350" s="1">
        <f t="shared" si="46"/>
        <v>80</v>
      </c>
      <c r="G350" s="9">
        <f t="shared" si="42"/>
        <v>0</v>
      </c>
      <c r="H350" s="9">
        <f t="shared" si="43"/>
        <v>80</v>
      </c>
      <c r="I350" s="9">
        <f t="shared" si="44"/>
        <v>0</v>
      </c>
      <c r="J350" s="9">
        <f t="shared" si="45"/>
        <v>0</v>
      </c>
      <c r="K350" s="1">
        <f t="shared" si="47"/>
        <v>80</v>
      </c>
      <c r="L350" s="1"/>
      <c r="M350" s="3"/>
      <c r="N350" s="3"/>
      <c r="O350" s="3"/>
      <c r="P350" s="3"/>
      <c r="Q350" s="3"/>
      <c r="R350" s="1"/>
    </row>
    <row r="351" spans="2:18" x14ac:dyDescent="0.2">
      <c r="B351">
        <v>339</v>
      </c>
      <c r="C351" s="1">
        <v>-0.40921075763071441</v>
      </c>
      <c r="D351" s="1">
        <f t="shared" si="40"/>
        <v>68.692754742936813</v>
      </c>
      <c r="E351" s="18">
        <f t="shared" si="41"/>
        <v>11.307245257063187</v>
      </c>
      <c r="F351" s="1">
        <f t="shared" si="46"/>
        <v>80</v>
      </c>
      <c r="G351" s="9">
        <f t="shared" si="42"/>
        <v>0</v>
      </c>
      <c r="H351" s="9">
        <f t="shared" si="43"/>
        <v>80</v>
      </c>
      <c r="I351" s="9">
        <f t="shared" si="44"/>
        <v>0</v>
      </c>
      <c r="J351" s="9">
        <f t="shared" si="45"/>
        <v>0</v>
      </c>
      <c r="K351" s="1">
        <f t="shared" si="47"/>
        <v>80</v>
      </c>
      <c r="L351" s="1"/>
      <c r="M351" s="3"/>
      <c r="N351" s="3"/>
      <c r="O351" s="3"/>
      <c r="P351" s="3"/>
      <c r="Q351" s="3"/>
      <c r="R351" s="1"/>
    </row>
    <row r="352" spans="2:18" x14ac:dyDescent="0.2">
      <c r="B352">
        <v>340</v>
      </c>
      <c r="C352" s="1">
        <v>-0.40858064917755765</v>
      </c>
      <c r="D352" s="1">
        <f t="shared" si="40"/>
        <v>68.71872998405361</v>
      </c>
      <c r="E352" s="18">
        <f t="shared" si="41"/>
        <v>11.28127001594639</v>
      </c>
      <c r="F352" s="1">
        <f t="shared" si="46"/>
        <v>80</v>
      </c>
      <c r="G352" s="9">
        <f t="shared" si="42"/>
        <v>0</v>
      </c>
      <c r="H352" s="9">
        <f t="shared" si="43"/>
        <v>80</v>
      </c>
      <c r="I352" s="9">
        <f t="shared" si="44"/>
        <v>0</v>
      </c>
      <c r="J352" s="9">
        <f t="shared" si="45"/>
        <v>0</v>
      </c>
      <c r="K352" s="1">
        <f t="shared" si="47"/>
        <v>80</v>
      </c>
      <c r="L352" s="1"/>
      <c r="M352" s="3"/>
      <c r="N352" s="3"/>
      <c r="O352" s="3"/>
      <c r="P352" s="3"/>
      <c r="Q352" s="3"/>
      <c r="R352" s="1"/>
    </row>
    <row r="353" spans="2:18" x14ac:dyDescent="0.2">
      <c r="B353">
        <v>341</v>
      </c>
      <c r="C353" s="1">
        <v>-0.40787159822216168</v>
      </c>
      <c r="D353" s="1">
        <f t="shared" si="40"/>
        <v>68.747971252366625</v>
      </c>
      <c r="E353" s="18">
        <f t="shared" si="41"/>
        <v>11.252028747633375</v>
      </c>
      <c r="F353" s="1">
        <f t="shared" si="46"/>
        <v>80</v>
      </c>
      <c r="G353" s="9">
        <f t="shared" si="42"/>
        <v>0</v>
      </c>
      <c r="H353" s="9">
        <f t="shared" si="43"/>
        <v>80</v>
      </c>
      <c r="I353" s="9">
        <f t="shared" si="44"/>
        <v>0</v>
      </c>
      <c r="J353" s="9">
        <f t="shared" si="45"/>
        <v>0</v>
      </c>
      <c r="K353" s="1">
        <f t="shared" si="47"/>
        <v>80</v>
      </c>
      <c r="L353" s="1"/>
      <c r="M353" s="3"/>
      <c r="N353" s="3"/>
      <c r="O353" s="3"/>
      <c r="P353" s="3"/>
      <c r="Q353" s="3"/>
      <c r="R353" s="1"/>
    </row>
    <row r="354" spans="2:18" x14ac:dyDescent="0.2">
      <c r="B354">
        <v>342</v>
      </c>
      <c r="C354" s="1">
        <v>-0.40542938933908212</v>
      </c>
      <c r="D354" s="1">
        <f t="shared" si="40"/>
        <v>68.84878323915882</v>
      </c>
      <c r="E354" s="18">
        <f t="shared" si="41"/>
        <v>11.15121676084118</v>
      </c>
      <c r="F354" s="1">
        <f t="shared" si="46"/>
        <v>80</v>
      </c>
      <c r="G354" s="9">
        <f t="shared" si="42"/>
        <v>0</v>
      </c>
      <c r="H354" s="9">
        <f t="shared" si="43"/>
        <v>80</v>
      </c>
      <c r="I354" s="9">
        <f t="shared" si="44"/>
        <v>0</v>
      </c>
      <c r="J354" s="9">
        <f t="shared" si="45"/>
        <v>0</v>
      </c>
      <c r="K354" s="1">
        <f t="shared" si="47"/>
        <v>80</v>
      </c>
      <c r="L354" s="1"/>
      <c r="M354" s="3"/>
      <c r="N354" s="3"/>
      <c r="O354" s="3"/>
      <c r="P354" s="3"/>
      <c r="Q354" s="3"/>
      <c r="R354" s="1"/>
    </row>
    <row r="355" spans="2:18" x14ac:dyDescent="0.2">
      <c r="B355">
        <v>343</v>
      </c>
      <c r="C355" s="1">
        <v>-0.40503663415478819</v>
      </c>
      <c r="D355" s="1">
        <f t="shared" si="40"/>
        <v>68.865009580907383</v>
      </c>
      <c r="E355" s="18">
        <f t="shared" si="41"/>
        <v>11.134990419092617</v>
      </c>
      <c r="F355" s="1">
        <f t="shared" si="46"/>
        <v>80</v>
      </c>
      <c r="G355" s="9">
        <f t="shared" si="42"/>
        <v>0</v>
      </c>
      <c r="H355" s="9">
        <f t="shared" si="43"/>
        <v>80</v>
      </c>
      <c r="I355" s="9">
        <f t="shared" si="44"/>
        <v>0</v>
      </c>
      <c r="J355" s="9">
        <f t="shared" si="45"/>
        <v>0</v>
      </c>
      <c r="K355" s="1">
        <f t="shared" si="47"/>
        <v>80</v>
      </c>
      <c r="L355" s="1"/>
      <c r="M355" s="3"/>
      <c r="N355" s="3"/>
      <c r="O355" s="3"/>
      <c r="P355" s="3"/>
      <c r="Q355" s="3"/>
      <c r="R355" s="1"/>
    </row>
    <row r="356" spans="2:18" x14ac:dyDescent="0.2">
      <c r="B356">
        <v>344</v>
      </c>
      <c r="C356" s="1">
        <v>-0.4031118551137205</v>
      </c>
      <c r="D356" s="1">
        <f t="shared" si="40"/>
        <v>68.944585478131359</v>
      </c>
      <c r="E356" s="18">
        <f t="shared" si="41"/>
        <v>11.055414521868641</v>
      </c>
      <c r="F356" s="1">
        <f t="shared" si="46"/>
        <v>80</v>
      </c>
      <c r="G356" s="9">
        <f t="shared" si="42"/>
        <v>0</v>
      </c>
      <c r="H356" s="9">
        <f t="shared" si="43"/>
        <v>80</v>
      </c>
      <c r="I356" s="9">
        <f t="shared" si="44"/>
        <v>0</v>
      </c>
      <c r="J356" s="9">
        <f t="shared" si="45"/>
        <v>0</v>
      </c>
      <c r="K356" s="1">
        <f t="shared" si="47"/>
        <v>80</v>
      </c>
      <c r="L356" s="1"/>
      <c r="M356" s="3"/>
      <c r="N356" s="3"/>
      <c r="O356" s="3"/>
      <c r="P356" s="3"/>
      <c r="Q356" s="3"/>
      <c r="R356" s="1"/>
    </row>
    <row r="357" spans="2:18" x14ac:dyDescent="0.2">
      <c r="B357">
        <v>345</v>
      </c>
      <c r="C357" s="1">
        <v>-0.40091059545686569</v>
      </c>
      <c r="D357" s="1">
        <f t="shared" si="40"/>
        <v>69.035704598681875</v>
      </c>
      <c r="E357" s="18">
        <f t="shared" si="41"/>
        <v>10.964295401318125</v>
      </c>
      <c r="F357" s="1">
        <f t="shared" si="46"/>
        <v>80</v>
      </c>
      <c r="G357" s="9">
        <f t="shared" si="42"/>
        <v>0</v>
      </c>
      <c r="H357" s="9">
        <f t="shared" si="43"/>
        <v>80</v>
      </c>
      <c r="I357" s="9">
        <f t="shared" si="44"/>
        <v>0</v>
      </c>
      <c r="J357" s="9">
        <f t="shared" si="45"/>
        <v>0</v>
      </c>
      <c r="K357" s="1">
        <f t="shared" si="47"/>
        <v>80</v>
      </c>
      <c r="L357" s="1"/>
      <c r="M357" s="3"/>
      <c r="N357" s="3"/>
      <c r="O357" s="3"/>
      <c r="P357" s="3"/>
      <c r="Q357" s="3"/>
      <c r="R357" s="1"/>
    </row>
    <row r="358" spans="2:18" x14ac:dyDescent="0.2">
      <c r="B358">
        <v>346</v>
      </c>
      <c r="C358" s="1">
        <v>-0.3982014283565844</v>
      </c>
      <c r="D358" s="1">
        <f t="shared" si="40"/>
        <v>69.148013408738933</v>
      </c>
      <c r="E358" s="18">
        <f t="shared" si="41"/>
        <v>10.851986591261067</v>
      </c>
      <c r="F358" s="1">
        <f t="shared" si="46"/>
        <v>80</v>
      </c>
      <c r="G358" s="9">
        <f t="shared" si="42"/>
        <v>0</v>
      </c>
      <c r="H358" s="9">
        <f t="shared" si="43"/>
        <v>80</v>
      </c>
      <c r="I358" s="9">
        <f t="shared" si="44"/>
        <v>0</v>
      </c>
      <c r="J358" s="9">
        <f t="shared" si="45"/>
        <v>0</v>
      </c>
      <c r="K358" s="1">
        <f t="shared" si="47"/>
        <v>80</v>
      </c>
      <c r="L358" s="1"/>
      <c r="M358" s="3"/>
      <c r="N358" s="3"/>
      <c r="O358" s="3"/>
      <c r="P358" s="3"/>
      <c r="Q358" s="3"/>
      <c r="R358" s="1"/>
    </row>
    <row r="359" spans="2:18" x14ac:dyDescent="0.2">
      <c r="B359">
        <v>347</v>
      </c>
      <c r="C359" s="1">
        <v>-0.39782376715506163</v>
      </c>
      <c r="D359" s="1">
        <f t="shared" si="40"/>
        <v>69.163683897208657</v>
      </c>
      <c r="E359" s="18">
        <f t="shared" si="41"/>
        <v>10.836316102791343</v>
      </c>
      <c r="F359" s="1">
        <f t="shared" si="46"/>
        <v>80</v>
      </c>
      <c r="G359" s="9">
        <f t="shared" si="42"/>
        <v>0</v>
      </c>
      <c r="H359" s="9">
        <f t="shared" si="43"/>
        <v>80</v>
      </c>
      <c r="I359" s="9">
        <f t="shared" si="44"/>
        <v>0</v>
      </c>
      <c r="J359" s="9">
        <f t="shared" si="45"/>
        <v>0</v>
      </c>
      <c r="K359" s="1">
        <f t="shared" si="47"/>
        <v>80</v>
      </c>
      <c r="L359" s="1"/>
      <c r="M359" s="3"/>
      <c r="N359" s="3"/>
      <c r="O359" s="3"/>
      <c r="P359" s="3"/>
      <c r="Q359" s="3"/>
      <c r="R359" s="1"/>
    </row>
    <row r="360" spans="2:18" x14ac:dyDescent="0.2">
      <c r="B360">
        <v>348</v>
      </c>
      <c r="C360" s="1">
        <v>-0.39281730288211875</v>
      </c>
      <c r="D360" s="1">
        <f t="shared" si="40"/>
        <v>69.371755559203649</v>
      </c>
      <c r="E360" s="18">
        <f t="shared" si="41"/>
        <v>10.628244440796351</v>
      </c>
      <c r="F360" s="1">
        <f t="shared" si="46"/>
        <v>80</v>
      </c>
      <c r="G360" s="9">
        <f t="shared" si="42"/>
        <v>0</v>
      </c>
      <c r="H360" s="9">
        <f t="shared" si="43"/>
        <v>80</v>
      </c>
      <c r="I360" s="9">
        <f t="shared" si="44"/>
        <v>0</v>
      </c>
      <c r="J360" s="9">
        <f t="shared" si="45"/>
        <v>0</v>
      </c>
      <c r="K360" s="1">
        <f t="shared" si="47"/>
        <v>80</v>
      </c>
      <c r="L360" s="1"/>
      <c r="M360" s="3"/>
      <c r="N360" s="3"/>
      <c r="O360" s="3"/>
      <c r="P360" s="3"/>
      <c r="Q360" s="3"/>
      <c r="R360" s="1"/>
    </row>
    <row r="361" spans="2:18" x14ac:dyDescent="0.2">
      <c r="B361">
        <v>349</v>
      </c>
      <c r="C361" s="1">
        <v>-0.39103342760438542</v>
      </c>
      <c r="D361" s="1">
        <f t="shared" si="40"/>
        <v>69.446045645214809</v>
      </c>
      <c r="E361" s="18">
        <f t="shared" si="41"/>
        <v>10.553954354785191</v>
      </c>
      <c r="F361" s="1">
        <f t="shared" si="46"/>
        <v>80</v>
      </c>
      <c r="G361" s="9">
        <f t="shared" si="42"/>
        <v>0</v>
      </c>
      <c r="H361" s="9">
        <f t="shared" si="43"/>
        <v>80</v>
      </c>
      <c r="I361" s="9">
        <f t="shared" si="44"/>
        <v>0</v>
      </c>
      <c r="J361" s="9">
        <f t="shared" si="45"/>
        <v>0</v>
      </c>
      <c r="K361" s="1">
        <f t="shared" si="47"/>
        <v>80</v>
      </c>
      <c r="L361" s="1"/>
      <c r="M361" s="3"/>
      <c r="N361" s="3"/>
      <c r="O361" s="3"/>
      <c r="P361" s="3"/>
      <c r="Q361" s="3"/>
      <c r="R361" s="1"/>
    </row>
    <row r="362" spans="2:18" x14ac:dyDescent="0.2">
      <c r="B362">
        <v>350</v>
      </c>
      <c r="C362" s="1">
        <v>-0.38402659762779079</v>
      </c>
      <c r="D362" s="1">
        <f t="shared" si="40"/>
        <v>69.738618196760669</v>
      </c>
      <c r="E362" s="18">
        <f t="shared" si="41"/>
        <v>10.261381803239331</v>
      </c>
      <c r="F362" s="1">
        <f t="shared" si="46"/>
        <v>80</v>
      </c>
      <c r="G362" s="9">
        <f t="shared" si="42"/>
        <v>0</v>
      </c>
      <c r="H362" s="9">
        <f t="shared" si="43"/>
        <v>80</v>
      </c>
      <c r="I362" s="9">
        <f t="shared" si="44"/>
        <v>0</v>
      </c>
      <c r="J362" s="9">
        <f t="shared" si="45"/>
        <v>0</v>
      </c>
      <c r="K362" s="1">
        <f t="shared" si="47"/>
        <v>80</v>
      </c>
      <c r="L362" s="1"/>
      <c r="M362" s="3"/>
      <c r="N362" s="3"/>
      <c r="O362" s="3"/>
      <c r="P362" s="3"/>
      <c r="Q362" s="3"/>
      <c r="R362" s="1"/>
    </row>
    <row r="363" spans="2:18" x14ac:dyDescent="0.2">
      <c r="B363">
        <v>351</v>
      </c>
      <c r="C363" s="1">
        <v>-0.38173985436676949</v>
      </c>
      <c r="D363" s="1">
        <f t="shared" si="40"/>
        <v>69.834368457735593</v>
      </c>
      <c r="E363" s="18">
        <f t="shared" si="41"/>
        <v>10.165631542264407</v>
      </c>
      <c r="F363" s="1">
        <f t="shared" si="46"/>
        <v>80</v>
      </c>
      <c r="G363" s="9">
        <f t="shared" si="42"/>
        <v>0</v>
      </c>
      <c r="H363" s="9">
        <f t="shared" si="43"/>
        <v>80</v>
      </c>
      <c r="I363" s="9">
        <f t="shared" si="44"/>
        <v>0</v>
      </c>
      <c r="J363" s="9">
        <f t="shared" si="45"/>
        <v>0</v>
      </c>
      <c r="K363" s="1">
        <f t="shared" si="47"/>
        <v>80</v>
      </c>
      <c r="L363" s="1"/>
      <c r="M363" s="3"/>
      <c r="N363" s="3"/>
      <c r="O363" s="3"/>
      <c r="P363" s="3"/>
      <c r="Q363" s="3"/>
      <c r="R363" s="1"/>
    </row>
    <row r="364" spans="2:18" x14ac:dyDescent="0.2">
      <c r="B364">
        <v>352</v>
      </c>
      <c r="C364" s="1">
        <v>-0.38040236442089848</v>
      </c>
      <c r="D364" s="1">
        <f t="shared" si="40"/>
        <v>69.890432609711794</v>
      </c>
      <c r="E364" s="18">
        <f t="shared" si="41"/>
        <v>10.109567390288206</v>
      </c>
      <c r="F364" s="1">
        <f t="shared" si="46"/>
        <v>80</v>
      </c>
      <c r="G364" s="9">
        <f t="shared" si="42"/>
        <v>0</v>
      </c>
      <c r="H364" s="9">
        <f t="shared" si="43"/>
        <v>80</v>
      </c>
      <c r="I364" s="9">
        <f t="shared" si="44"/>
        <v>0</v>
      </c>
      <c r="J364" s="9">
        <f t="shared" si="45"/>
        <v>0</v>
      </c>
      <c r="K364" s="1">
        <f t="shared" si="47"/>
        <v>80</v>
      </c>
      <c r="L364" s="1"/>
      <c r="M364" s="3"/>
      <c r="N364" s="3"/>
      <c r="O364" s="3"/>
      <c r="P364" s="3"/>
      <c r="Q364" s="3"/>
      <c r="R364" s="1"/>
    </row>
    <row r="365" spans="2:18" x14ac:dyDescent="0.2">
      <c r="B365">
        <v>353</v>
      </c>
      <c r="C365" s="1">
        <v>-0.37975705441224816</v>
      </c>
      <c r="D365" s="1">
        <f t="shared" si="40"/>
        <v>69.917498446533457</v>
      </c>
      <c r="E365" s="18">
        <f t="shared" si="41"/>
        <v>10.082501553466543</v>
      </c>
      <c r="F365" s="1">
        <f t="shared" si="46"/>
        <v>80</v>
      </c>
      <c r="G365" s="9">
        <f t="shared" si="42"/>
        <v>0</v>
      </c>
      <c r="H365" s="9">
        <f t="shared" si="43"/>
        <v>80</v>
      </c>
      <c r="I365" s="9">
        <f t="shared" si="44"/>
        <v>0</v>
      </c>
      <c r="J365" s="9">
        <f t="shared" si="45"/>
        <v>0</v>
      </c>
      <c r="K365" s="1">
        <f t="shared" si="47"/>
        <v>80</v>
      </c>
      <c r="L365" s="1"/>
      <c r="M365" s="3"/>
      <c r="N365" s="3"/>
      <c r="O365" s="3"/>
      <c r="P365" s="3"/>
      <c r="Q365" s="3"/>
      <c r="R365" s="1"/>
    </row>
    <row r="366" spans="2:18" x14ac:dyDescent="0.2">
      <c r="B366">
        <v>354</v>
      </c>
      <c r="C366" s="1">
        <v>-0.37596732312477332</v>
      </c>
      <c r="D366" s="1">
        <f t="shared" si="40"/>
        <v>70.076660451168124</v>
      </c>
      <c r="E366" s="18">
        <f t="shared" si="41"/>
        <v>9.9233395488318763</v>
      </c>
      <c r="F366" s="1">
        <f t="shared" si="46"/>
        <v>80</v>
      </c>
      <c r="G366" s="9">
        <f t="shared" si="42"/>
        <v>0</v>
      </c>
      <c r="H366" s="9">
        <f t="shared" si="43"/>
        <v>80</v>
      </c>
      <c r="I366" s="9">
        <f t="shared" si="44"/>
        <v>0</v>
      </c>
      <c r="J366" s="9">
        <f t="shared" si="45"/>
        <v>0</v>
      </c>
      <c r="K366" s="1">
        <f t="shared" si="47"/>
        <v>80</v>
      </c>
      <c r="L366" s="1"/>
      <c r="M366" s="3"/>
      <c r="N366" s="3"/>
      <c r="O366" s="3"/>
      <c r="P366" s="3"/>
      <c r="Q366" s="3"/>
      <c r="R366" s="1"/>
    </row>
    <row r="367" spans="2:18" x14ac:dyDescent="0.2">
      <c r="B367">
        <v>355</v>
      </c>
      <c r="C367" s="1">
        <v>-0.37490805071077621</v>
      </c>
      <c r="D367" s="1">
        <f t="shared" si="40"/>
        <v>70.121212771550177</v>
      </c>
      <c r="E367" s="18">
        <f t="shared" si="41"/>
        <v>9.8787872284498235</v>
      </c>
      <c r="F367" s="1">
        <f t="shared" si="46"/>
        <v>80</v>
      </c>
      <c r="G367" s="9">
        <f t="shared" si="42"/>
        <v>0</v>
      </c>
      <c r="H367" s="9">
        <f t="shared" si="43"/>
        <v>80</v>
      </c>
      <c r="I367" s="9">
        <f t="shared" si="44"/>
        <v>0</v>
      </c>
      <c r="J367" s="9">
        <f t="shared" si="45"/>
        <v>0</v>
      </c>
      <c r="K367" s="1">
        <f t="shared" si="47"/>
        <v>80</v>
      </c>
      <c r="L367" s="1"/>
      <c r="M367" s="3"/>
      <c r="N367" s="3"/>
      <c r="O367" s="3"/>
      <c r="P367" s="3"/>
      <c r="Q367" s="3"/>
      <c r="R367" s="1"/>
    </row>
    <row r="368" spans="2:18" x14ac:dyDescent="0.2">
      <c r="B368">
        <v>356</v>
      </c>
      <c r="C368" s="1">
        <v>-0.37140759875205831</v>
      </c>
      <c r="D368" s="1">
        <f t="shared" si="40"/>
        <v>70.268641099045908</v>
      </c>
      <c r="E368" s="18">
        <f t="shared" si="41"/>
        <v>9.731358900954092</v>
      </c>
      <c r="F368" s="1">
        <f t="shared" si="46"/>
        <v>80</v>
      </c>
      <c r="G368" s="9">
        <f t="shared" si="42"/>
        <v>0</v>
      </c>
      <c r="H368" s="9">
        <f t="shared" si="43"/>
        <v>80</v>
      </c>
      <c r="I368" s="9">
        <f t="shared" si="44"/>
        <v>0</v>
      </c>
      <c r="J368" s="9">
        <f t="shared" si="45"/>
        <v>0</v>
      </c>
      <c r="K368" s="1">
        <f t="shared" si="47"/>
        <v>80</v>
      </c>
      <c r="L368" s="1"/>
      <c r="M368" s="3"/>
      <c r="N368" s="3"/>
      <c r="O368" s="3"/>
      <c r="P368" s="3"/>
      <c r="Q368" s="3"/>
      <c r="R368" s="1"/>
    </row>
    <row r="369" spans="2:18" x14ac:dyDescent="0.2">
      <c r="B369">
        <v>357</v>
      </c>
      <c r="C369" s="1">
        <v>-0.37100752615776794</v>
      </c>
      <c r="D369" s="1">
        <f t="shared" si="40"/>
        <v>70.285510658204458</v>
      </c>
      <c r="E369" s="18">
        <f t="shared" si="41"/>
        <v>9.7144893417955416</v>
      </c>
      <c r="F369" s="1">
        <f t="shared" si="46"/>
        <v>80</v>
      </c>
      <c r="G369" s="9">
        <f t="shared" si="42"/>
        <v>0</v>
      </c>
      <c r="H369" s="9">
        <f t="shared" si="43"/>
        <v>80</v>
      </c>
      <c r="I369" s="9">
        <f t="shared" si="44"/>
        <v>0</v>
      </c>
      <c r="J369" s="9">
        <f t="shared" si="45"/>
        <v>0</v>
      </c>
      <c r="K369" s="1">
        <f t="shared" si="47"/>
        <v>80</v>
      </c>
      <c r="L369" s="1"/>
      <c r="M369" s="3"/>
      <c r="N369" s="3"/>
      <c r="O369" s="3"/>
      <c r="P369" s="3"/>
      <c r="Q369" s="3"/>
      <c r="R369" s="1"/>
    </row>
    <row r="370" spans="2:18" x14ac:dyDescent="0.2">
      <c r="B370">
        <v>358</v>
      </c>
      <c r="C370" s="1">
        <v>-0.37028602134964755</v>
      </c>
      <c r="D370" s="1">
        <f t="shared" si="40"/>
        <v>70.315944045408386</v>
      </c>
      <c r="E370" s="18">
        <f t="shared" si="41"/>
        <v>9.6840559545916136</v>
      </c>
      <c r="F370" s="1">
        <f t="shared" si="46"/>
        <v>80</v>
      </c>
      <c r="G370" s="9">
        <f t="shared" si="42"/>
        <v>0</v>
      </c>
      <c r="H370" s="9">
        <f t="shared" si="43"/>
        <v>80</v>
      </c>
      <c r="I370" s="9">
        <f t="shared" si="44"/>
        <v>0</v>
      </c>
      <c r="J370" s="9">
        <f t="shared" si="45"/>
        <v>0</v>
      </c>
      <c r="K370" s="1">
        <f t="shared" si="47"/>
        <v>80</v>
      </c>
      <c r="L370" s="1"/>
      <c r="M370" s="3"/>
      <c r="N370" s="3"/>
      <c r="O370" s="3"/>
      <c r="P370" s="3"/>
      <c r="Q370" s="3"/>
      <c r="R370" s="1"/>
    </row>
    <row r="371" spans="2:18" x14ac:dyDescent="0.2">
      <c r="B371">
        <v>359</v>
      </c>
      <c r="C371" s="1">
        <v>-0.36326562375035615</v>
      </c>
      <c r="D371" s="1">
        <f t="shared" si="40"/>
        <v>70.612756259335271</v>
      </c>
      <c r="E371" s="18">
        <f t="shared" si="41"/>
        <v>9.3872437406647293</v>
      </c>
      <c r="F371" s="1">
        <f t="shared" si="46"/>
        <v>80</v>
      </c>
      <c r="G371" s="9">
        <f t="shared" si="42"/>
        <v>0</v>
      </c>
      <c r="H371" s="9">
        <f t="shared" si="43"/>
        <v>80</v>
      </c>
      <c r="I371" s="9">
        <f t="shared" si="44"/>
        <v>0</v>
      </c>
      <c r="J371" s="9">
        <f t="shared" si="45"/>
        <v>0</v>
      </c>
      <c r="K371" s="1">
        <f t="shared" si="47"/>
        <v>80</v>
      </c>
      <c r="L371" s="1"/>
      <c r="M371" s="3"/>
      <c r="N371" s="3"/>
      <c r="O371" s="3"/>
      <c r="P371" s="3"/>
      <c r="Q371" s="3"/>
      <c r="R371" s="1"/>
    </row>
    <row r="372" spans="2:18" x14ac:dyDescent="0.2">
      <c r="B372">
        <v>360</v>
      </c>
      <c r="C372" s="1">
        <v>-0.36245347591605825</v>
      </c>
      <c r="D372" s="1">
        <f t="shared" si="40"/>
        <v>70.647173442448363</v>
      </c>
      <c r="E372" s="18">
        <f t="shared" si="41"/>
        <v>9.3528265575516372</v>
      </c>
      <c r="F372" s="1">
        <f t="shared" si="46"/>
        <v>80</v>
      </c>
      <c r="G372" s="9">
        <f t="shared" si="42"/>
        <v>0</v>
      </c>
      <c r="H372" s="9">
        <f t="shared" si="43"/>
        <v>80</v>
      </c>
      <c r="I372" s="9">
        <f t="shared" si="44"/>
        <v>0</v>
      </c>
      <c r="J372" s="9">
        <f t="shared" si="45"/>
        <v>0</v>
      </c>
      <c r="K372" s="1">
        <f t="shared" si="47"/>
        <v>80</v>
      </c>
      <c r="L372" s="1"/>
      <c r="M372" s="3"/>
      <c r="N372" s="3"/>
      <c r="O372" s="3"/>
      <c r="P372" s="3"/>
      <c r="Q372" s="3"/>
      <c r="R372" s="1"/>
    </row>
    <row r="373" spans="2:18" x14ac:dyDescent="0.2">
      <c r="B373">
        <v>361</v>
      </c>
      <c r="C373" s="1">
        <v>-0.35710958445739444</v>
      </c>
      <c r="D373" s="1">
        <f t="shared" si="40"/>
        <v>70.874055474002958</v>
      </c>
      <c r="E373" s="18">
        <f t="shared" si="41"/>
        <v>9.125944525997042</v>
      </c>
      <c r="F373" s="1">
        <f t="shared" si="46"/>
        <v>80</v>
      </c>
      <c r="G373" s="9">
        <f t="shared" si="42"/>
        <v>0</v>
      </c>
      <c r="H373" s="9">
        <f t="shared" si="43"/>
        <v>80</v>
      </c>
      <c r="I373" s="9">
        <f t="shared" si="44"/>
        <v>0</v>
      </c>
      <c r="J373" s="9">
        <f t="shared" si="45"/>
        <v>0</v>
      </c>
      <c r="K373" s="1">
        <f t="shared" si="47"/>
        <v>80</v>
      </c>
      <c r="L373" s="1"/>
      <c r="M373" s="3"/>
      <c r="N373" s="3"/>
      <c r="O373" s="3"/>
      <c r="P373" s="3"/>
      <c r="Q373" s="3"/>
      <c r="R373" s="1"/>
    </row>
    <row r="374" spans="2:18" x14ac:dyDescent="0.2">
      <c r="B374">
        <v>362</v>
      </c>
      <c r="C374" s="1">
        <v>-0.35216122759475271</v>
      </c>
      <c r="D374" s="1">
        <f t="shared" si="40"/>
        <v>71.084794233646093</v>
      </c>
      <c r="E374" s="18">
        <f t="shared" si="41"/>
        <v>8.9152057663539068</v>
      </c>
      <c r="F374" s="1">
        <f t="shared" si="46"/>
        <v>80</v>
      </c>
      <c r="G374" s="9">
        <f t="shared" si="42"/>
        <v>0</v>
      </c>
      <c r="H374" s="9">
        <f t="shared" si="43"/>
        <v>80</v>
      </c>
      <c r="I374" s="9">
        <f t="shared" si="44"/>
        <v>0</v>
      </c>
      <c r="J374" s="9">
        <f t="shared" si="45"/>
        <v>0</v>
      </c>
      <c r="K374" s="1">
        <f t="shared" si="47"/>
        <v>80</v>
      </c>
      <c r="L374" s="1"/>
      <c r="M374" s="3"/>
      <c r="N374" s="3"/>
      <c r="O374" s="3"/>
      <c r="P374" s="3"/>
      <c r="Q374" s="3"/>
      <c r="R374" s="1"/>
    </row>
    <row r="375" spans="2:18" x14ac:dyDescent="0.2">
      <c r="B375">
        <v>363</v>
      </c>
      <c r="C375" s="1">
        <v>-0.34762355970448483</v>
      </c>
      <c r="D375" s="1">
        <f t="shared" si="40"/>
        <v>71.278593445840713</v>
      </c>
      <c r="E375" s="18">
        <f t="shared" si="41"/>
        <v>8.7214065541592873</v>
      </c>
      <c r="F375" s="1">
        <f t="shared" si="46"/>
        <v>80</v>
      </c>
      <c r="G375" s="9">
        <f t="shared" si="42"/>
        <v>0</v>
      </c>
      <c r="H375" s="9">
        <f t="shared" si="43"/>
        <v>80</v>
      </c>
      <c r="I375" s="9">
        <f t="shared" si="44"/>
        <v>0</v>
      </c>
      <c r="J375" s="9">
        <f t="shared" si="45"/>
        <v>0</v>
      </c>
      <c r="K375" s="1">
        <f t="shared" si="47"/>
        <v>80</v>
      </c>
      <c r="L375" s="1"/>
      <c r="M375" s="3"/>
      <c r="N375" s="3"/>
      <c r="O375" s="3"/>
      <c r="P375" s="3"/>
      <c r="Q375" s="3"/>
      <c r="R375" s="1"/>
    </row>
    <row r="376" spans="2:18" x14ac:dyDescent="0.2">
      <c r="B376">
        <v>364</v>
      </c>
      <c r="C376" s="1">
        <v>-0.34500723387096149</v>
      </c>
      <c r="D376" s="1">
        <f t="shared" si="40"/>
        <v>71.390574131478886</v>
      </c>
      <c r="E376" s="18">
        <f t="shared" si="41"/>
        <v>8.6094258685211145</v>
      </c>
      <c r="F376" s="1">
        <f t="shared" si="46"/>
        <v>80</v>
      </c>
      <c r="G376" s="9">
        <f t="shared" si="42"/>
        <v>0</v>
      </c>
      <c r="H376" s="9">
        <f t="shared" si="43"/>
        <v>80</v>
      </c>
      <c r="I376" s="9">
        <f t="shared" si="44"/>
        <v>0</v>
      </c>
      <c r="J376" s="9">
        <f t="shared" si="45"/>
        <v>0</v>
      </c>
      <c r="K376" s="1">
        <f t="shared" si="47"/>
        <v>80</v>
      </c>
      <c r="L376" s="1"/>
      <c r="M376" s="3"/>
      <c r="N376" s="3"/>
      <c r="O376" s="3"/>
      <c r="P376" s="3"/>
      <c r="Q376" s="3"/>
      <c r="R376" s="1"/>
    </row>
    <row r="377" spans="2:18" x14ac:dyDescent="0.2">
      <c r="B377">
        <v>365</v>
      </c>
      <c r="C377" s="1">
        <v>-0.34375943893561856</v>
      </c>
      <c r="D377" s="1">
        <f t="shared" si="40"/>
        <v>71.44404262239452</v>
      </c>
      <c r="E377" s="18">
        <f t="shared" si="41"/>
        <v>8.5559573776054805</v>
      </c>
      <c r="F377" s="1">
        <f t="shared" si="46"/>
        <v>80</v>
      </c>
      <c r="G377" s="9">
        <f t="shared" si="42"/>
        <v>0</v>
      </c>
      <c r="H377" s="9">
        <f t="shared" si="43"/>
        <v>80</v>
      </c>
      <c r="I377" s="9">
        <f t="shared" si="44"/>
        <v>0</v>
      </c>
      <c r="J377" s="9">
        <f t="shared" si="45"/>
        <v>0</v>
      </c>
      <c r="K377" s="1">
        <f t="shared" si="47"/>
        <v>80</v>
      </c>
      <c r="L377" s="1"/>
      <c r="M377" s="3"/>
      <c r="N377" s="3"/>
      <c r="O377" s="3"/>
      <c r="P377" s="3"/>
      <c r="Q377" s="3"/>
      <c r="R377" s="1"/>
    </row>
    <row r="378" spans="2:18" x14ac:dyDescent="0.2">
      <c r="B378">
        <v>366</v>
      </c>
      <c r="C378" s="1">
        <v>-0.34158525500357634</v>
      </c>
      <c r="D378" s="1">
        <f t="shared" si="40"/>
        <v>71.537302932395164</v>
      </c>
      <c r="E378" s="18">
        <f t="shared" si="41"/>
        <v>8.4626970676048359</v>
      </c>
      <c r="F378" s="1">
        <f t="shared" si="46"/>
        <v>80</v>
      </c>
      <c r="G378" s="9">
        <f t="shared" si="42"/>
        <v>0</v>
      </c>
      <c r="H378" s="9">
        <f t="shared" si="43"/>
        <v>80</v>
      </c>
      <c r="I378" s="9">
        <f t="shared" si="44"/>
        <v>0</v>
      </c>
      <c r="J378" s="9">
        <f t="shared" si="45"/>
        <v>0</v>
      </c>
      <c r="K378" s="1">
        <f t="shared" si="47"/>
        <v>80</v>
      </c>
      <c r="L378" s="1"/>
      <c r="M378" s="3"/>
      <c r="N378" s="3"/>
      <c r="O378" s="3"/>
      <c r="P378" s="3"/>
      <c r="Q378" s="3"/>
      <c r="R378" s="1"/>
    </row>
    <row r="379" spans="2:18" x14ac:dyDescent="0.2">
      <c r="B379">
        <v>367</v>
      </c>
      <c r="C379" s="1">
        <v>-0.33832095530323997</v>
      </c>
      <c r="D379" s="1">
        <f t="shared" si="40"/>
        <v>71.677551749728664</v>
      </c>
      <c r="E379" s="18">
        <f t="shared" si="41"/>
        <v>8.3224482502713357</v>
      </c>
      <c r="F379" s="1">
        <f t="shared" si="46"/>
        <v>80</v>
      </c>
      <c r="G379" s="9">
        <f t="shared" si="42"/>
        <v>0</v>
      </c>
      <c r="H379" s="9">
        <f t="shared" si="43"/>
        <v>80</v>
      </c>
      <c r="I379" s="9">
        <f t="shared" si="44"/>
        <v>0</v>
      </c>
      <c r="J379" s="9">
        <f t="shared" si="45"/>
        <v>0</v>
      </c>
      <c r="K379" s="1">
        <f t="shared" si="47"/>
        <v>80</v>
      </c>
      <c r="L379" s="1"/>
      <c r="M379" s="3"/>
      <c r="N379" s="3"/>
      <c r="O379" s="3"/>
      <c r="P379" s="3"/>
      <c r="Q379" s="3"/>
      <c r="R379" s="1"/>
    </row>
    <row r="380" spans="2:18" x14ac:dyDescent="0.2">
      <c r="B380">
        <v>368</v>
      </c>
      <c r="C380" s="1">
        <v>-0.33320449044523043</v>
      </c>
      <c r="D380" s="1">
        <f t="shared" si="40"/>
        <v>71.897931250627366</v>
      </c>
      <c r="E380" s="18">
        <f t="shared" si="41"/>
        <v>8.1020687493726342</v>
      </c>
      <c r="F380" s="1">
        <f t="shared" si="46"/>
        <v>80</v>
      </c>
      <c r="G380" s="9">
        <f t="shared" si="42"/>
        <v>0</v>
      </c>
      <c r="H380" s="9">
        <f t="shared" si="43"/>
        <v>80</v>
      </c>
      <c r="I380" s="9">
        <f t="shared" si="44"/>
        <v>0</v>
      </c>
      <c r="J380" s="9">
        <f t="shared" si="45"/>
        <v>0</v>
      </c>
      <c r="K380" s="1">
        <f t="shared" si="47"/>
        <v>80</v>
      </c>
      <c r="L380" s="1"/>
      <c r="M380" s="3"/>
      <c r="N380" s="3"/>
      <c r="O380" s="3"/>
      <c r="P380" s="3"/>
      <c r="Q380" s="3"/>
      <c r="R380" s="1"/>
    </row>
    <row r="381" spans="2:18" x14ac:dyDescent="0.2">
      <c r="B381">
        <v>369</v>
      </c>
      <c r="C381" s="1">
        <v>-0.33295481150183015</v>
      </c>
      <c r="D381" s="1">
        <f t="shared" si="40"/>
        <v>71.90870289714762</v>
      </c>
      <c r="E381" s="18">
        <f t="shared" si="41"/>
        <v>8.0912971028523799</v>
      </c>
      <c r="F381" s="1">
        <f t="shared" si="46"/>
        <v>80</v>
      </c>
      <c r="G381" s="9">
        <f t="shared" si="42"/>
        <v>0</v>
      </c>
      <c r="H381" s="9">
        <f t="shared" si="43"/>
        <v>80</v>
      </c>
      <c r="I381" s="9">
        <f t="shared" si="44"/>
        <v>0</v>
      </c>
      <c r="J381" s="9">
        <f t="shared" si="45"/>
        <v>0</v>
      </c>
      <c r="K381" s="1">
        <f t="shared" si="47"/>
        <v>80</v>
      </c>
      <c r="L381" s="1"/>
      <c r="M381" s="3"/>
      <c r="N381" s="3"/>
      <c r="O381" s="3"/>
      <c r="P381" s="3"/>
      <c r="Q381" s="3"/>
      <c r="R381" s="1"/>
    </row>
    <row r="382" spans="2:18" x14ac:dyDescent="0.2">
      <c r="B382">
        <v>370</v>
      </c>
      <c r="C382" s="1">
        <v>-0.32509746366792125</v>
      </c>
      <c r="D382" s="1">
        <f t="shared" si="40"/>
        <v>72.248510277782586</v>
      </c>
      <c r="E382" s="18">
        <f t="shared" si="41"/>
        <v>7.7514897222174142</v>
      </c>
      <c r="F382" s="1">
        <f t="shared" si="46"/>
        <v>80</v>
      </c>
      <c r="G382" s="9">
        <f t="shared" si="42"/>
        <v>0</v>
      </c>
      <c r="H382" s="9">
        <f t="shared" si="43"/>
        <v>80</v>
      </c>
      <c r="I382" s="9">
        <f t="shared" si="44"/>
        <v>0</v>
      </c>
      <c r="J382" s="9">
        <f t="shared" si="45"/>
        <v>0</v>
      </c>
      <c r="K382" s="1">
        <f t="shared" si="47"/>
        <v>80</v>
      </c>
      <c r="L382" s="1"/>
      <c r="M382" s="3"/>
      <c r="N382" s="3"/>
      <c r="O382" s="3"/>
      <c r="P382" s="3"/>
      <c r="Q382" s="3"/>
      <c r="R382" s="1"/>
    </row>
    <row r="383" spans="2:18" x14ac:dyDescent="0.2">
      <c r="B383">
        <v>371</v>
      </c>
      <c r="C383" s="1">
        <v>-0.32072834286051854</v>
      </c>
      <c r="D383" s="1">
        <f t="shared" si="40"/>
        <v>72.438156226730399</v>
      </c>
      <c r="E383" s="18">
        <f t="shared" si="41"/>
        <v>7.5618437732696009</v>
      </c>
      <c r="F383" s="1">
        <f t="shared" si="46"/>
        <v>80</v>
      </c>
      <c r="G383" s="9">
        <f t="shared" si="42"/>
        <v>0</v>
      </c>
      <c r="H383" s="9">
        <f t="shared" si="43"/>
        <v>80</v>
      </c>
      <c r="I383" s="9">
        <f t="shared" si="44"/>
        <v>0</v>
      </c>
      <c r="J383" s="9">
        <f t="shared" si="45"/>
        <v>0</v>
      </c>
      <c r="K383" s="1">
        <f t="shared" si="47"/>
        <v>80</v>
      </c>
      <c r="L383" s="1"/>
      <c r="M383" s="3"/>
      <c r="N383" s="3"/>
      <c r="O383" s="3"/>
      <c r="P383" s="3"/>
      <c r="Q383" s="3"/>
      <c r="R383" s="1"/>
    </row>
    <row r="384" spans="2:18" x14ac:dyDescent="0.2">
      <c r="B384">
        <v>372</v>
      </c>
      <c r="C384" s="1">
        <v>-0.31591188680944005</v>
      </c>
      <c r="D384" s="1">
        <f t="shared" si="40"/>
        <v>72.647796114756574</v>
      </c>
      <c r="E384" s="18">
        <f t="shared" si="41"/>
        <v>7.3522038852434264</v>
      </c>
      <c r="F384" s="1">
        <f t="shared" si="46"/>
        <v>80</v>
      </c>
      <c r="G384" s="9">
        <f t="shared" si="42"/>
        <v>0</v>
      </c>
      <c r="H384" s="9">
        <f t="shared" si="43"/>
        <v>80</v>
      </c>
      <c r="I384" s="9">
        <f t="shared" si="44"/>
        <v>0</v>
      </c>
      <c r="J384" s="9">
        <f t="shared" si="45"/>
        <v>0</v>
      </c>
      <c r="K384" s="1">
        <f t="shared" si="47"/>
        <v>80</v>
      </c>
      <c r="L384" s="1"/>
      <c r="M384" s="3"/>
      <c r="N384" s="3"/>
      <c r="O384" s="3"/>
      <c r="P384" s="3"/>
      <c r="Q384" s="3"/>
      <c r="R384" s="1"/>
    </row>
    <row r="385" spans="2:18" x14ac:dyDescent="0.2">
      <c r="B385">
        <v>373</v>
      </c>
      <c r="C385" s="1">
        <v>-0.31291304937313874</v>
      </c>
      <c r="D385" s="1">
        <f t="shared" si="40"/>
        <v>72.778629141945203</v>
      </c>
      <c r="E385" s="18">
        <f t="shared" si="41"/>
        <v>7.2213708580547973</v>
      </c>
      <c r="F385" s="1">
        <f t="shared" si="46"/>
        <v>80</v>
      </c>
      <c r="G385" s="9">
        <f t="shared" si="42"/>
        <v>0</v>
      </c>
      <c r="H385" s="9">
        <f t="shared" si="43"/>
        <v>80</v>
      </c>
      <c r="I385" s="9">
        <f t="shared" si="44"/>
        <v>0</v>
      </c>
      <c r="J385" s="9">
        <f t="shared" si="45"/>
        <v>0</v>
      </c>
      <c r="K385" s="1">
        <f t="shared" si="47"/>
        <v>80</v>
      </c>
      <c r="L385" s="1"/>
      <c r="M385" s="3"/>
      <c r="N385" s="3"/>
      <c r="O385" s="3"/>
      <c r="P385" s="3"/>
      <c r="Q385" s="3"/>
      <c r="R385" s="1"/>
    </row>
    <row r="386" spans="2:18" x14ac:dyDescent="0.2">
      <c r="B386">
        <v>374</v>
      </c>
      <c r="C386" s="1">
        <v>-0.31116390374377717</v>
      </c>
      <c r="D386" s="1">
        <f t="shared" si="40"/>
        <v>72.855049488670304</v>
      </c>
      <c r="E386" s="18">
        <f t="shared" si="41"/>
        <v>7.1449505113296965</v>
      </c>
      <c r="F386" s="1">
        <f t="shared" si="46"/>
        <v>80</v>
      </c>
      <c r="G386" s="9">
        <f t="shared" si="42"/>
        <v>0</v>
      </c>
      <c r="H386" s="9">
        <f t="shared" si="43"/>
        <v>80</v>
      </c>
      <c r="I386" s="9">
        <f t="shared" si="44"/>
        <v>0</v>
      </c>
      <c r="J386" s="9">
        <f t="shared" si="45"/>
        <v>0</v>
      </c>
      <c r="K386" s="1">
        <f t="shared" si="47"/>
        <v>80</v>
      </c>
      <c r="L386" s="1"/>
      <c r="M386" s="3"/>
      <c r="N386" s="3"/>
      <c r="O386" s="3"/>
      <c r="P386" s="3"/>
      <c r="Q386" s="3"/>
      <c r="R386" s="1"/>
    </row>
    <row r="387" spans="2:18" x14ac:dyDescent="0.2">
      <c r="B387">
        <v>375</v>
      </c>
      <c r="C387" s="1">
        <v>-0.30703808740444377</v>
      </c>
      <c r="D387" s="1">
        <f t="shared" si="40"/>
        <v>73.035624834819828</v>
      </c>
      <c r="E387" s="18">
        <f t="shared" si="41"/>
        <v>6.9643751651801722</v>
      </c>
      <c r="F387" s="1">
        <f t="shared" si="46"/>
        <v>80</v>
      </c>
      <c r="G387" s="9">
        <f t="shared" si="42"/>
        <v>0</v>
      </c>
      <c r="H387" s="9">
        <f t="shared" si="43"/>
        <v>80</v>
      </c>
      <c r="I387" s="9">
        <f t="shared" si="44"/>
        <v>0</v>
      </c>
      <c r="J387" s="9">
        <f t="shared" si="45"/>
        <v>0</v>
      </c>
      <c r="K387" s="1">
        <f t="shared" si="47"/>
        <v>80</v>
      </c>
      <c r="L387" s="1"/>
      <c r="M387" s="3"/>
      <c r="N387" s="3"/>
      <c r="O387" s="3"/>
      <c r="P387" s="3"/>
      <c r="Q387" s="3"/>
      <c r="R387" s="1"/>
    </row>
    <row r="388" spans="2:18" x14ac:dyDescent="0.2">
      <c r="B388">
        <v>376</v>
      </c>
      <c r="C388" s="1">
        <v>-0.30106699066703335</v>
      </c>
      <c r="D388" s="1">
        <f t="shared" si="40"/>
        <v>73.297755785919037</v>
      </c>
      <c r="E388" s="18">
        <f t="shared" si="41"/>
        <v>6.702244214080963</v>
      </c>
      <c r="F388" s="1">
        <f t="shared" si="46"/>
        <v>80</v>
      </c>
      <c r="G388" s="9">
        <f t="shared" si="42"/>
        <v>0</v>
      </c>
      <c r="H388" s="9">
        <f t="shared" si="43"/>
        <v>80</v>
      </c>
      <c r="I388" s="9">
        <f t="shared" si="44"/>
        <v>0</v>
      </c>
      <c r="J388" s="9">
        <f t="shared" si="45"/>
        <v>0</v>
      </c>
      <c r="K388" s="1">
        <f t="shared" si="47"/>
        <v>80</v>
      </c>
      <c r="L388" s="1"/>
      <c r="M388" s="3"/>
      <c r="N388" s="3"/>
      <c r="O388" s="3"/>
      <c r="P388" s="3"/>
      <c r="Q388" s="3"/>
      <c r="R388" s="1"/>
    </row>
    <row r="389" spans="2:18" x14ac:dyDescent="0.2">
      <c r="B389">
        <v>377</v>
      </c>
      <c r="C389" s="1">
        <v>-0.2977395995353892</v>
      </c>
      <c r="D389" s="1">
        <f t="shared" si="40"/>
        <v>73.444236138036459</v>
      </c>
      <c r="E389" s="18">
        <f t="shared" si="41"/>
        <v>6.5557638619635412</v>
      </c>
      <c r="F389" s="1">
        <f t="shared" si="46"/>
        <v>80</v>
      </c>
      <c r="G389" s="9">
        <f t="shared" si="42"/>
        <v>0</v>
      </c>
      <c r="H389" s="9">
        <f t="shared" si="43"/>
        <v>80</v>
      </c>
      <c r="I389" s="9">
        <f t="shared" si="44"/>
        <v>0</v>
      </c>
      <c r="J389" s="9">
        <f t="shared" si="45"/>
        <v>0</v>
      </c>
      <c r="K389" s="1">
        <f t="shared" si="47"/>
        <v>80</v>
      </c>
      <c r="L389" s="1"/>
      <c r="M389" s="3"/>
      <c r="N389" s="3"/>
      <c r="O389" s="3"/>
      <c r="P389" s="3"/>
      <c r="Q389" s="3"/>
      <c r="R389" s="1"/>
    </row>
    <row r="390" spans="2:18" x14ac:dyDescent="0.2">
      <c r="B390">
        <v>378</v>
      </c>
      <c r="C390" s="1">
        <v>-0.29365196981845282</v>
      </c>
      <c r="D390" s="1">
        <f t="shared" si="40"/>
        <v>73.62458491264303</v>
      </c>
      <c r="E390" s="18">
        <f t="shared" si="41"/>
        <v>6.3754150873569699</v>
      </c>
      <c r="F390" s="1">
        <f t="shared" si="46"/>
        <v>80</v>
      </c>
      <c r="G390" s="9">
        <f t="shared" si="42"/>
        <v>0</v>
      </c>
      <c r="H390" s="9">
        <f t="shared" si="43"/>
        <v>80</v>
      </c>
      <c r="I390" s="9">
        <f t="shared" si="44"/>
        <v>0</v>
      </c>
      <c r="J390" s="9">
        <f t="shared" si="45"/>
        <v>0</v>
      </c>
      <c r="K390" s="1">
        <f t="shared" si="47"/>
        <v>80</v>
      </c>
      <c r="L390" s="1"/>
      <c r="M390" s="3"/>
      <c r="N390" s="3"/>
      <c r="O390" s="3"/>
      <c r="P390" s="3"/>
      <c r="Q390" s="3"/>
      <c r="R390" s="1"/>
    </row>
    <row r="391" spans="2:18" x14ac:dyDescent="0.2">
      <c r="B391">
        <v>379</v>
      </c>
      <c r="C391" s="1">
        <v>-0.29305605332993562</v>
      </c>
      <c r="D391" s="1">
        <f t="shared" si="40"/>
        <v>73.650914081824155</v>
      </c>
      <c r="E391" s="18">
        <f t="shared" si="41"/>
        <v>6.3490859181758452</v>
      </c>
      <c r="F391" s="1">
        <f t="shared" si="46"/>
        <v>80</v>
      </c>
      <c r="G391" s="9">
        <f t="shared" si="42"/>
        <v>0</v>
      </c>
      <c r="H391" s="9">
        <f t="shared" si="43"/>
        <v>80</v>
      </c>
      <c r="I391" s="9">
        <f t="shared" si="44"/>
        <v>0</v>
      </c>
      <c r="J391" s="9">
        <f t="shared" si="45"/>
        <v>0</v>
      </c>
      <c r="K391" s="1">
        <f t="shared" si="47"/>
        <v>80</v>
      </c>
      <c r="L391" s="1"/>
      <c r="M391" s="3"/>
      <c r="N391" s="3"/>
      <c r="O391" s="3"/>
      <c r="P391" s="3"/>
      <c r="Q391" s="3"/>
      <c r="R391" s="1"/>
    </row>
    <row r="392" spans="2:18" x14ac:dyDescent="0.2">
      <c r="B392">
        <v>380</v>
      </c>
      <c r="C392" s="1">
        <v>-0.29115021440932942</v>
      </c>
      <c r="D392" s="1">
        <f t="shared" si="40"/>
        <v>73.735182320305555</v>
      </c>
      <c r="E392" s="18">
        <f t="shared" si="41"/>
        <v>6.2648176796944455</v>
      </c>
      <c r="F392" s="1">
        <f t="shared" si="46"/>
        <v>80</v>
      </c>
      <c r="G392" s="9">
        <f t="shared" si="42"/>
        <v>0</v>
      </c>
      <c r="H392" s="9">
        <f t="shared" si="43"/>
        <v>80</v>
      </c>
      <c r="I392" s="9">
        <f t="shared" si="44"/>
        <v>0</v>
      </c>
      <c r="J392" s="9">
        <f t="shared" si="45"/>
        <v>0</v>
      </c>
      <c r="K392" s="1">
        <f t="shared" si="47"/>
        <v>80</v>
      </c>
      <c r="L392" s="1"/>
      <c r="M392" s="3"/>
      <c r="N392" s="3"/>
      <c r="O392" s="3"/>
      <c r="P392" s="3"/>
      <c r="Q392" s="3"/>
      <c r="R392" s="1"/>
    </row>
    <row r="393" spans="2:18" x14ac:dyDescent="0.2">
      <c r="B393">
        <v>381</v>
      </c>
      <c r="C393" s="1">
        <v>-0.29079926069716144</v>
      </c>
      <c r="D393" s="1">
        <f t="shared" si="40"/>
        <v>73.750710536725336</v>
      </c>
      <c r="E393" s="18">
        <f t="shared" si="41"/>
        <v>6.2492894632746641</v>
      </c>
      <c r="F393" s="1">
        <f t="shared" si="46"/>
        <v>80</v>
      </c>
      <c r="G393" s="9">
        <f t="shared" si="42"/>
        <v>0</v>
      </c>
      <c r="H393" s="9">
        <f t="shared" si="43"/>
        <v>80</v>
      </c>
      <c r="I393" s="9">
        <f t="shared" si="44"/>
        <v>0</v>
      </c>
      <c r="J393" s="9">
        <f t="shared" si="45"/>
        <v>0</v>
      </c>
      <c r="K393" s="1">
        <f t="shared" si="47"/>
        <v>80</v>
      </c>
      <c r="L393" s="1"/>
      <c r="M393" s="3"/>
      <c r="N393" s="3"/>
      <c r="O393" s="3"/>
      <c r="P393" s="3"/>
      <c r="Q393" s="3"/>
      <c r="R393" s="1"/>
    </row>
    <row r="394" spans="2:18" x14ac:dyDescent="0.2">
      <c r="B394">
        <v>382</v>
      </c>
      <c r="C394" s="1">
        <v>-0.28958896784554272</v>
      </c>
      <c r="D394" s="1">
        <f t="shared" si="40"/>
        <v>73.804285961615776</v>
      </c>
      <c r="E394" s="18">
        <f t="shared" si="41"/>
        <v>6.1957140383842244</v>
      </c>
      <c r="F394" s="1">
        <f t="shared" si="46"/>
        <v>80</v>
      </c>
      <c r="G394" s="9">
        <f t="shared" si="42"/>
        <v>0</v>
      </c>
      <c r="H394" s="9">
        <f t="shared" si="43"/>
        <v>80</v>
      </c>
      <c r="I394" s="9">
        <f t="shared" si="44"/>
        <v>0</v>
      </c>
      <c r="J394" s="9">
        <f t="shared" si="45"/>
        <v>0</v>
      </c>
      <c r="K394" s="1">
        <f t="shared" si="47"/>
        <v>80</v>
      </c>
      <c r="L394" s="1"/>
      <c r="M394" s="3"/>
      <c r="N394" s="3"/>
      <c r="O394" s="3"/>
      <c r="P394" s="3"/>
      <c r="Q394" s="3"/>
      <c r="R394" s="1"/>
    </row>
    <row r="395" spans="2:18" x14ac:dyDescent="0.2">
      <c r="B395">
        <v>383</v>
      </c>
      <c r="C395" s="1">
        <v>-0.28669947268150858</v>
      </c>
      <c r="D395" s="1">
        <f t="shared" si="40"/>
        <v>73.932351219143911</v>
      </c>
      <c r="E395" s="18">
        <f t="shared" si="41"/>
        <v>6.0676487808560893</v>
      </c>
      <c r="F395" s="1">
        <f t="shared" si="46"/>
        <v>80</v>
      </c>
      <c r="G395" s="9">
        <f t="shared" si="42"/>
        <v>0</v>
      </c>
      <c r="H395" s="9">
        <f t="shared" si="43"/>
        <v>80</v>
      </c>
      <c r="I395" s="9">
        <f t="shared" si="44"/>
        <v>0</v>
      </c>
      <c r="J395" s="9">
        <f t="shared" si="45"/>
        <v>0</v>
      </c>
      <c r="K395" s="1">
        <f t="shared" si="47"/>
        <v>80</v>
      </c>
      <c r="L395" s="1"/>
      <c r="M395" s="3"/>
      <c r="N395" s="3"/>
      <c r="O395" s="3"/>
      <c r="P395" s="3"/>
      <c r="Q395" s="3"/>
      <c r="R395" s="1"/>
    </row>
    <row r="396" spans="2:18" x14ac:dyDescent="0.2">
      <c r="B396">
        <v>384</v>
      </c>
      <c r="C396" s="1">
        <v>-0.28627658554729152</v>
      </c>
      <c r="D396" s="1">
        <f t="shared" si="40"/>
        <v>73.951112623309996</v>
      </c>
      <c r="E396" s="18">
        <f t="shared" si="41"/>
        <v>6.0488873766900042</v>
      </c>
      <c r="F396" s="1">
        <f t="shared" si="46"/>
        <v>80</v>
      </c>
      <c r="G396" s="9">
        <f t="shared" si="42"/>
        <v>0</v>
      </c>
      <c r="H396" s="9">
        <f t="shared" si="43"/>
        <v>80</v>
      </c>
      <c r="I396" s="9">
        <f t="shared" si="44"/>
        <v>0</v>
      </c>
      <c r="J396" s="9">
        <f t="shared" si="45"/>
        <v>0</v>
      </c>
      <c r="K396" s="1">
        <f t="shared" si="47"/>
        <v>80</v>
      </c>
      <c r="L396" s="1"/>
      <c r="M396" s="3"/>
      <c r="N396" s="3"/>
      <c r="O396" s="3"/>
      <c r="P396" s="3"/>
      <c r="Q396" s="3"/>
      <c r="R396" s="1"/>
    </row>
    <row r="397" spans="2:18" x14ac:dyDescent="0.2">
      <c r="B397">
        <v>385</v>
      </c>
      <c r="C397" s="1">
        <v>-0.28303731635809121</v>
      </c>
      <c r="D397" s="1">
        <f t="shared" ref="D397:D460" si="48">a0*EXP((RR-0.5*sigma^2)*T+sigma*SQRT(T)*C397)</f>
        <v>74.094980922843916</v>
      </c>
      <c r="E397" s="18">
        <f t="shared" ref="E397:E460" si="49">IF(AND(D397&gt;=0, D397&lt;F), F-D397, IF(D397&gt;=F, $E$7, 0))</f>
        <v>5.9050190771560835</v>
      </c>
      <c r="F397" s="1">
        <f t="shared" si="46"/>
        <v>80</v>
      </c>
      <c r="G397" s="9">
        <f t="shared" ref="G397:G460" si="50">IF(F397&lt;F,MIN(disc,F397),0)</f>
        <v>0</v>
      </c>
      <c r="H397" s="9">
        <f t="shared" ref="H397:H460" si="51">IF(F397&gt;=F,F,F397-G397)</f>
        <v>80</v>
      </c>
      <c r="I397" s="9">
        <f t="shared" ref="I397:I460" si="52">(1-tax)*(F397-G397-H397)</f>
        <v>0</v>
      </c>
      <c r="J397" s="9">
        <f t="shared" ref="J397:J460" si="53">tax*(F397-G397-H397)</f>
        <v>0</v>
      </c>
      <c r="K397" s="1">
        <f t="shared" si="47"/>
        <v>80</v>
      </c>
      <c r="L397" s="1"/>
      <c r="M397" s="3"/>
      <c r="N397" s="3"/>
      <c r="O397" s="3"/>
      <c r="P397" s="3"/>
      <c r="Q397" s="3"/>
      <c r="R397" s="1"/>
    </row>
    <row r="398" spans="2:18" x14ac:dyDescent="0.2">
      <c r="B398">
        <v>386</v>
      </c>
      <c r="C398" s="1">
        <v>-0.28219127217393264</v>
      </c>
      <c r="D398" s="1">
        <f t="shared" si="48"/>
        <v>74.132603047641084</v>
      </c>
      <c r="E398" s="18">
        <f t="shared" si="49"/>
        <v>5.8673969523589165</v>
      </c>
      <c r="F398" s="1">
        <f t="shared" ref="F398:F461" si="54">D398+E398</f>
        <v>80</v>
      </c>
      <c r="G398" s="9">
        <f t="shared" si="50"/>
        <v>0</v>
      </c>
      <c r="H398" s="9">
        <f t="shared" si="51"/>
        <v>80</v>
      </c>
      <c r="I398" s="9">
        <f t="shared" si="52"/>
        <v>0</v>
      </c>
      <c r="J398" s="9">
        <f t="shared" si="53"/>
        <v>0</v>
      </c>
      <c r="K398" s="1">
        <f t="shared" ref="K398:K461" si="55">SUM(G398:J398)</f>
        <v>80</v>
      </c>
      <c r="L398" s="1"/>
      <c r="M398" s="3"/>
      <c r="N398" s="3"/>
      <c r="O398" s="3"/>
      <c r="P398" s="3"/>
      <c r="Q398" s="3"/>
      <c r="R398" s="1"/>
    </row>
    <row r="399" spans="2:18" x14ac:dyDescent="0.2">
      <c r="B399">
        <v>387</v>
      </c>
      <c r="C399" s="1">
        <v>-0.2736443144978089</v>
      </c>
      <c r="D399" s="1">
        <f t="shared" si="48"/>
        <v>74.513744424531069</v>
      </c>
      <c r="E399" s="18">
        <f t="shared" si="49"/>
        <v>5.4862555754689311</v>
      </c>
      <c r="F399" s="1">
        <f t="shared" si="54"/>
        <v>80</v>
      </c>
      <c r="G399" s="9">
        <f t="shared" si="50"/>
        <v>0</v>
      </c>
      <c r="H399" s="9">
        <f t="shared" si="51"/>
        <v>80</v>
      </c>
      <c r="I399" s="9">
        <f t="shared" si="52"/>
        <v>0</v>
      </c>
      <c r="J399" s="9">
        <f t="shared" si="53"/>
        <v>0</v>
      </c>
      <c r="K399" s="1">
        <f t="shared" si="55"/>
        <v>80</v>
      </c>
      <c r="L399" s="1"/>
      <c r="M399" s="3"/>
      <c r="N399" s="3"/>
      <c r="O399" s="3"/>
      <c r="P399" s="3"/>
      <c r="Q399" s="3"/>
      <c r="R399" s="1"/>
    </row>
    <row r="400" spans="2:18" x14ac:dyDescent="0.2">
      <c r="B400">
        <v>388</v>
      </c>
      <c r="C400" s="1">
        <v>-0.27275944002579644</v>
      </c>
      <c r="D400" s="1">
        <f t="shared" si="48"/>
        <v>74.553316114548224</v>
      </c>
      <c r="E400" s="18">
        <f t="shared" si="49"/>
        <v>5.4466838854517761</v>
      </c>
      <c r="F400" s="1">
        <f t="shared" si="54"/>
        <v>80</v>
      </c>
      <c r="G400" s="9">
        <f t="shared" si="50"/>
        <v>0</v>
      </c>
      <c r="H400" s="9">
        <f t="shared" si="51"/>
        <v>80</v>
      </c>
      <c r="I400" s="9">
        <f t="shared" si="52"/>
        <v>0</v>
      </c>
      <c r="J400" s="9">
        <f t="shared" si="53"/>
        <v>0</v>
      </c>
      <c r="K400" s="1">
        <f t="shared" si="55"/>
        <v>80</v>
      </c>
      <c r="L400" s="1"/>
      <c r="M400" s="3"/>
      <c r="N400" s="3"/>
      <c r="O400" s="3"/>
      <c r="P400" s="3"/>
      <c r="Q400" s="3"/>
      <c r="R400" s="1"/>
    </row>
    <row r="401" spans="2:18" x14ac:dyDescent="0.2">
      <c r="B401">
        <v>389</v>
      </c>
      <c r="C401" s="1">
        <v>-0.26284081446742485</v>
      </c>
      <c r="D401" s="1">
        <f t="shared" si="48"/>
        <v>74.998318801692577</v>
      </c>
      <c r="E401" s="18">
        <f t="shared" si="49"/>
        <v>5.0016811983074234</v>
      </c>
      <c r="F401" s="1">
        <f t="shared" si="54"/>
        <v>80</v>
      </c>
      <c r="G401" s="9">
        <f t="shared" si="50"/>
        <v>0</v>
      </c>
      <c r="H401" s="9">
        <f t="shared" si="51"/>
        <v>80</v>
      </c>
      <c r="I401" s="9">
        <f t="shared" si="52"/>
        <v>0</v>
      </c>
      <c r="J401" s="9">
        <f t="shared" si="53"/>
        <v>0</v>
      </c>
      <c r="K401" s="1">
        <f t="shared" si="55"/>
        <v>80</v>
      </c>
      <c r="L401" s="1"/>
      <c r="M401" s="3"/>
      <c r="N401" s="3"/>
      <c r="O401" s="3"/>
      <c r="P401" s="3"/>
      <c r="Q401" s="3"/>
      <c r="R401" s="1"/>
    </row>
    <row r="402" spans="2:18" x14ac:dyDescent="0.2">
      <c r="B402">
        <v>390</v>
      </c>
      <c r="C402" s="1">
        <v>-0.2614275613048278</v>
      </c>
      <c r="D402" s="1">
        <f t="shared" si="48"/>
        <v>75.061940738793169</v>
      </c>
      <c r="E402" s="18">
        <f t="shared" si="49"/>
        <v>4.9380592612068313</v>
      </c>
      <c r="F402" s="1">
        <f t="shared" si="54"/>
        <v>80</v>
      </c>
      <c r="G402" s="9">
        <f t="shared" si="50"/>
        <v>0</v>
      </c>
      <c r="H402" s="9">
        <f t="shared" si="51"/>
        <v>80</v>
      </c>
      <c r="I402" s="9">
        <f t="shared" si="52"/>
        <v>0</v>
      </c>
      <c r="J402" s="9">
        <f t="shared" si="53"/>
        <v>0</v>
      </c>
      <c r="K402" s="1">
        <f t="shared" si="55"/>
        <v>80</v>
      </c>
      <c r="L402" s="1"/>
      <c r="M402" s="3"/>
      <c r="N402" s="3"/>
      <c r="O402" s="3"/>
      <c r="P402" s="3"/>
      <c r="Q402" s="3"/>
      <c r="R402" s="1"/>
    </row>
    <row r="403" spans="2:18" x14ac:dyDescent="0.2">
      <c r="B403">
        <v>391</v>
      </c>
      <c r="C403" s="1">
        <v>-0.25454964967961907</v>
      </c>
      <c r="D403" s="1">
        <f t="shared" si="48"/>
        <v>75.372342409749734</v>
      </c>
      <c r="E403" s="18">
        <f t="shared" si="49"/>
        <v>4.6276575902502657</v>
      </c>
      <c r="F403" s="1">
        <f t="shared" si="54"/>
        <v>80</v>
      </c>
      <c r="G403" s="9">
        <f t="shared" si="50"/>
        <v>0</v>
      </c>
      <c r="H403" s="9">
        <f t="shared" si="51"/>
        <v>80</v>
      </c>
      <c r="I403" s="9">
        <f t="shared" si="52"/>
        <v>0</v>
      </c>
      <c r="J403" s="9">
        <f t="shared" si="53"/>
        <v>0</v>
      </c>
      <c r="K403" s="1">
        <f t="shared" si="55"/>
        <v>80</v>
      </c>
      <c r="L403" s="1"/>
      <c r="M403" s="3"/>
      <c r="N403" s="3"/>
      <c r="O403" s="3"/>
      <c r="P403" s="3"/>
      <c r="Q403" s="3"/>
      <c r="R403" s="1"/>
    </row>
    <row r="404" spans="2:18" x14ac:dyDescent="0.2">
      <c r="B404">
        <v>392</v>
      </c>
      <c r="C404" s="1">
        <v>-0.25243728825488015</v>
      </c>
      <c r="D404" s="1">
        <f t="shared" si="48"/>
        <v>75.467931149503116</v>
      </c>
      <c r="E404" s="18">
        <f t="shared" si="49"/>
        <v>4.5320688504968842</v>
      </c>
      <c r="F404" s="1">
        <f t="shared" si="54"/>
        <v>80</v>
      </c>
      <c r="G404" s="9">
        <f t="shared" si="50"/>
        <v>0</v>
      </c>
      <c r="H404" s="9">
        <f t="shared" si="51"/>
        <v>80</v>
      </c>
      <c r="I404" s="9">
        <f t="shared" si="52"/>
        <v>0</v>
      </c>
      <c r="J404" s="9">
        <f t="shared" si="53"/>
        <v>0</v>
      </c>
      <c r="K404" s="1">
        <f t="shared" si="55"/>
        <v>80</v>
      </c>
      <c r="L404" s="1"/>
      <c r="M404" s="3"/>
      <c r="N404" s="3"/>
      <c r="O404" s="3"/>
      <c r="P404" s="3"/>
      <c r="Q404" s="3"/>
      <c r="R404" s="1"/>
    </row>
    <row r="405" spans="2:18" x14ac:dyDescent="0.2">
      <c r="B405">
        <v>393</v>
      </c>
      <c r="C405" s="1">
        <v>-0.2484098502673166</v>
      </c>
      <c r="D405" s="1">
        <f t="shared" si="48"/>
        <v>75.6505171144033</v>
      </c>
      <c r="E405" s="18">
        <f t="shared" si="49"/>
        <v>4.3494828855967</v>
      </c>
      <c r="F405" s="1">
        <f t="shared" si="54"/>
        <v>80</v>
      </c>
      <c r="G405" s="9">
        <f t="shared" si="50"/>
        <v>0</v>
      </c>
      <c r="H405" s="9">
        <f t="shared" si="51"/>
        <v>80</v>
      </c>
      <c r="I405" s="9">
        <f t="shared" si="52"/>
        <v>0</v>
      </c>
      <c r="J405" s="9">
        <f t="shared" si="53"/>
        <v>0</v>
      </c>
      <c r="K405" s="1">
        <f t="shared" si="55"/>
        <v>80</v>
      </c>
      <c r="L405" s="1"/>
      <c r="M405" s="3"/>
      <c r="N405" s="3"/>
      <c r="O405" s="3"/>
      <c r="P405" s="3"/>
      <c r="Q405" s="3"/>
      <c r="R405" s="1"/>
    </row>
    <row r="406" spans="2:18" x14ac:dyDescent="0.2">
      <c r="B406">
        <v>394</v>
      </c>
      <c r="C406" s="1">
        <v>-0.24706590809833706</v>
      </c>
      <c r="D406" s="1">
        <f t="shared" si="48"/>
        <v>75.711543667977267</v>
      </c>
      <c r="E406" s="18">
        <f t="shared" si="49"/>
        <v>4.2884563320227329</v>
      </c>
      <c r="F406" s="1">
        <f t="shared" si="54"/>
        <v>80</v>
      </c>
      <c r="G406" s="9">
        <f t="shared" si="50"/>
        <v>0</v>
      </c>
      <c r="H406" s="9">
        <f t="shared" si="51"/>
        <v>80</v>
      </c>
      <c r="I406" s="9">
        <f t="shared" si="52"/>
        <v>0</v>
      </c>
      <c r="J406" s="9">
        <f t="shared" si="53"/>
        <v>0</v>
      </c>
      <c r="K406" s="1">
        <f t="shared" si="55"/>
        <v>80</v>
      </c>
      <c r="L406" s="1"/>
      <c r="M406" s="3"/>
      <c r="N406" s="3"/>
      <c r="O406" s="3"/>
      <c r="P406" s="3"/>
      <c r="Q406" s="3"/>
      <c r="R406" s="1"/>
    </row>
    <row r="407" spans="2:18" x14ac:dyDescent="0.2">
      <c r="B407">
        <v>395</v>
      </c>
      <c r="C407" s="1">
        <v>-0.24486926738298356</v>
      </c>
      <c r="D407" s="1">
        <f t="shared" si="48"/>
        <v>75.811396091158429</v>
      </c>
      <c r="E407" s="18">
        <f t="shared" si="49"/>
        <v>4.1886039088415714</v>
      </c>
      <c r="F407" s="1">
        <f t="shared" si="54"/>
        <v>80</v>
      </c>
      <c r="G407" s="9">
        <f t="shared" si="50"/>
        <v>0</v>
      </c>
      <c r="H407" s="9">
        <f t="shared" si="51"/>
        <v>80</v>
      </c>
      <c r="I407" s="9">
        <f t="shared" si="52"/>
        <v>0</v>
      </c>
      <c r="J407" s="9">
        <f t="shared" si="53"/>
        <v>0</v>
      </c>
      <c r="K407" s="1">
        <f t="shared" si="55"/>
        <v>80</v>
      </c>
      <c r="L407" s="1"/>
      <c r="M407" s="3"/>
      <c r="N407" s="3"/>
      <c r="O407" s="3"/>
      <c r="P407" s="3"/>
      <c r="Q407" s="3"/>
      <c r="R407" s="1"/>
    </row>
    <row r="408" spans="2:18" x14ac:dyDescent="0.2">
      <c r="B408">
        <v>396</v>
      </c>
      <c r="C408" s="1">
        <v>-0.24274235386407861</v>
      </c>
      <c r="D408" s="1">
        <f t="shared" si="48"/>
        <v>75.908204418842573</v>
      </c>
      <c r="E408" s="18">
        <f t="shared" si="49"/>
        <v>4.0917955811574274</v>
      </c>
      <c r="F408" s="1">
        <f t="shared" si="54"/>
        <v>80</v>
      </c>
      <c r="G408" s="9">
        <f t="shared" si="50"/>
        <v>0</v>
      </c>
      <c r="H408" s="9">
        <f t="shared" si="51"/>
        <v>80</v>
      </c>
      <c r="I408" s="9">
        <f t="shared" si="52"/>
        <v>0</v>
      </c>
      <c r="J408" s="9">
        <f t="shared" si="53"/>
        <v>0</v>
      </c>
      <c r="K408" s="1">
        <f t="shared" si="55"/>
        <v>80</v>
      </c>
      <c r="L408" s="1"/>
      <c r="M408" s="3"/>
      <c r="N408" s="3"/>
      <c r="O408" s="3"/>
      <c r="P408" s="3"/>
      <c r="Q408" s="3"/>
      <c r="R408" s="1"/>
    </row>
    <row r="409" spans="2:18" x14ac:dyDescent="0.2">
      <c r="B409">
        <v>397</v>
      </c>
      <c r="C409" s="1">
        <v>-0.23521823807995423</v>
      </c>
      <c r="D409" s="1">
        <f t="shared" si="48"/>
        <v>76.251664376675237</v>
      </c>
      <c r="E409" s="18">
        <f t="shared" si="49"/>
        <v>3.7483356233247633</v>
      </c>
      <c r="F409" s="1">
        <f t="shared" si="54"/>
        <v>80</v>
      </c>
      <c r="G409" s="9">
        <f t="shared" si="50"/>
        <v>0</v>
      </c>
      <c r="H409" s="9">
        <f t="shared" si="51"/>
        <v>80</v>
      </c>
      <c r="I409" s="9">
        <f t="shared" si="52"/>
        <v>0</v>
      </c>
      <c r="J409" s="9">
        <f t="shared" si="53"/>
        <v>0</v>
      </c>
      <c r="K409" s="1">
        <f t="shared" si="55"/>
        <v>80</v>
      </c>
      <c r="L409" s="1"/>
      <c r="M409" s="3"/>
      <c r="N409" s="3"/>
      <c r="O409" s="3"/>
      <c r="P409" s="3"/>
      <c r="Q409" s="3"/>
      <c r="R409" s="1"/>
    </row>
    <row r="410" spans="2:18" x14ac:dyDescent="0.2">
      <c r="B410">
        <v>398</v>
      </c>
      <c r="C410" s="1">
        <v>-0.23485842684366448</v>
      </c>
      <c r="D410" s="1">
        <f t="shared" si="48"/>
        <v>76.268127877114139</v>
      </c>
      <c r="E410" s="18">
        <f t="shared" si="49"/>
        <v>3.7318721228858607</v>
      </c>
      <c r="F410" s="1">
        <f t="shared" si="54"/>
        <v>80</v>
      </c>
      <c r="G410" s="9">
        <f t="shared" si="50"/>
        <v>0</v>
      </c>
      <c r="H410" s="9">
        <f t="shared" si="51"/>
        <v>80</v>
      </c>
      <c r="I410" s="9">
        <f t="shared" si="52"/>
        <v>0</v>
      </c>
      <c r="J410" s="9">
        <f t="shared" si="53"/>
        <v>0</v>
      </c>
      <c r="K410" s="1">
        <f t="shared" si="55"/>
        <v>80</v>
      </c>
      <c r="L410" s="1"/>
      <c r="M410" s="3"/>
      <c r="N410" s="3"/>
      <c r="O410" s="3"/>
      <c r="P410" s="3"/>
      <c r="Q410" s="3"/>
      <c r="R410" s="1"/>
    </row>
    <row r="411" spans="2:18" x14ac:dyDescent="0.2">
      <c r="B411">
        <v>399</v>
      </c>
      <c r="C411" s="1">
        <v>-0.2341755685815321</v>
      </c>
      <c r="D411" s="1">
        <f t="shared" si="48"/>
        <v>76.299382472169412</v>
      </c>
      <c r="E411" s="18">
        <f t="shared" si="49"/>
        <v>3.7006175278305875</v>
      </c>
      <c r="F411" s="1">
        <f t="shared" si="54"/>
        <v>80</v>
      </c>
      <c r="G411" s="9">
        <f t="shared" si="50"/>
        <v>0</v>
      </c>
      <c r="H411" s="9">
        <f t="shared" si="51"/>
        <v>80</v>
      </c>
      <c r="I411" s="9">
        <f t="shared" si="52"/>
        <v>0</v>
      </c>
      <c r="J411" s="9">
        <f t="shared" si="53"/>
        <v>0</v>
      </c>
      <c r="K411" s="1">
        <f t="shared" si="55"/>
        <v>80</v>
      </c>
      <c r="L411" s="1"/>
      <c r="M411" s="3"/>
      <c r="N411" s="3"/>
      <c r="O411" s="3"/>
      <c r="P411" s="3"/>
      <c r="Q411" s="3"/>
      <c r="R411" s="1"/>
    </row>
    <row r="412" spans="2:18" x14ac:dyDescent="0.2">
      <c r="B412">
        <v>400</v>
      </c>
      <c r="C412" s="1">
        <v>-0.23326862099054546</v>
      </c>
      <c r="D412" s="1">
        <f t="shared" si="48"/>
        <v>76.340913495759253</v>
      </c>
      <c r="E412" s="18">
        <f t="shared" si="49"/>
        <v>3.6590865042407472</v>
      </c>
      <c r="F412" s="1">
        <f t="shared" si="54"/>
        <v>80</v>
      </c>
      <c r="G412" s="9">
        <f t="shared" si="50"/>
        <v>0</v>
      </c>
      <c r="H412" s="9">
        <f t="shared" si="51"/>
        <v>80</v>
      </c>
      <c r="I412" s="9">
        <f t="shared" si="52"/>
        <v>0</v>
      </c>
      <c r="J412" s="9">
        <f t="shared" si="53"/>
        <v>0</v>
      </c>
      <c r="K412" s="1">
        <f t="shared" si="55"/>
        <v>80</v>
      </c>
      <c r="L412" s="1"/>
      <c r="M412" s="3"/>
      <c r="N412" s="3"/>
      <c r="O412" s="3"/>
      <c r="P412" s="3"/>
      <c r="Q412" s="3"/>
      <c r="R412" s="1"/>
    </row>
    <row r="413" spans="2:18" x14ac:dyDescent="0.2">
      <c r="B413">
        <v>401</v>
      </c>
      <c r="C413" s="1">
        <v>-0.23259987758276274</v>
      </c>
      <c r="D413" s="1">
        <f t="shared" si="48"/>
        <v>76.371551131549936</v>
      </c>
      <c r="E413" s="18">
        <f t="shared" si="49"/>
        <v>3.6284488684500644</v>
      </c>
      <c r="F413" s="1">
        <f t="shared" si="54"/>
        <v>80</v>
      </c>
      <c r="G413" s="9">
        <f t="shared" si="50"/>
        <v>0</v>
      </c>
      <c r="H413" s="9">
        <f t="shared" si="51"/>
        <v>80</v>
      </c>
      <c r="I413" s="9">
        <f t="shared" si="52"/>
        <v>0</v>
      </c>
      <c r="J413" s="9">
        <f t="shared" si="53"/>
        <v>0</v>
      </c>
      <c r="K413" s="1">
        <f t="shared" si="55"/>
        <v>80</v>
      </c>
      <c r="L413" s="1"/>
      <c r="M413" s="3"/>
      <c r="N413" s="3"/>
      <c r="O413" s="3"/>
      <c r="P413" s="3"/>
      <c r="Q413" s="3"/>
      <c r="R413" s="1"/>
    </row>
    <row r="414" spans="2:18" x14ac:dyDescent="0.2">
      <c r="B414">
        <v>402</v>
      </c>
      <c r="C414" s="1">
        <v>-0.22837904351093594</v>
      </c>
      <c r="D414" s="1">
        <f t="shared" si="48"/>
        <v>76.565207232208834</v>
      </c>
      <c r="E414" s="18">
        <f t="shared" si="49"/>
        <v>3.4347927677911656</v>
      </c>
      <c r="F414" s="1">
        <f t="shared" si="54"/>
        <v>80</v>
      </c>
      <c r="G414" s="9">
        <f t="shared" si="50"/>
        <v>0</v>
      </c>
      <c r="H414" s="9">
        <f t="shared" si="51"/>
        <v>80</v>
      </c>
      <c r="I414" s="9">
        <f t="shared" si="52"/>
        <v>0</v>
      </c>
      <c r="J414" s="9">
        <f t="shared" si="53"/>
        <v>0</v>
      </c>
      <c r="K414" s="1">
        <f t="shared" si="55"/>
        <v>80</v>
      </c>
      <c r="L414" s="1"/>
      <c r="M414" s="3"/>
      <c r="N414" s="3"/>
      <c r="O414" s="3"/>
      <c r="P414" s="3"/>
      <c r="Q414" s="3"/>
      <c r="R414" s="1"/>
    </row>
    <row r="415" spans="2:18" x14ac:dyDescent="0.2">
      <c r="B415">
        <v>403</v>
      </c>
      <c r="C415" s="1">
        <v>-0.22266407913570155</v>
      </c>
      <c r="D415" s="1">
        <f t="shared" si="48"/>
        <v>76.828198328977166</v>
      </c>
      <c r="E415" s="18">
        <f t="shared" si="49"/>
        <v>3.1718016710228341</v>
      </c>
      <c r="F415" s="1">
        <f t="shared" si="54"/>
        <v>80</v>
      </c>
      <c r="G415" s="9">
        <f t="shared" si="50"/>
        <v>0</v>
      </c>
      <c r="H415" s="9">
        <f t="shared" si="51"/>
        <v>80</v>
      </c>
      <c r="I415" s="9">
        <f t="shared" si="52"/>
        <v>0</v>
      </c>
      <c r="J415" s="9">
        <f t="shared" si="53"/>
        <v>0</v>
      </c>
      <c r="K415" s="1">
        <f t="shared" si="55"/>
        <v>80</v>
      </c>
      <c r="L415" s="1"/>
      <c r="M415" s="3"/>
      <c r="N415" s="3"/>
      <c r="O415" s="3"/>
      <c r="P415" s="3"/>
      <c r="Q415" s="3"/>
      <c r="R415" s="1"/>
    </row>
    <row r="416" spans="2:18" x14ac:dyDescent="0.2">
      <c r="B416">
        <v>404</v>
      </c>
      <c r="C416" s="1">
        <v>-0.22199559121209139</v>
      </c>
      <c r="D416" s="1">
        <f t="shared" si="48"/>
        <v>76.859019743352349</v>
      </c>
      <c r="E416" s="18">
        <f t="shared" si="49"/>
        <v>3.1409802566476515</v>
      </c>
      <c r="F416" s="1">
        <f t="shared" si="54"/>
        <v>80</v>
      </c>
      <c r="G416" s="9">
        <f t="shared" si="50"/>
        <v>0</v>
      </c>
      <c r="H416" s="9">
        <f t="shared" si="51"/>
        <v>80</v>
      </c>
      <c r="I416" s="9">
        <f t="shared" si="52"/>
        <v>0</v>
      </c>
      <c r="J416" s="9">
        <f t="shared" si="53"/>
        <v>0</v>
      </c>
      <c r="K416" s="1">
        <f t="shared" si="55"/>
        <v>80</v>
      </c>
      <c r="L416" s="1"/>
      <c r="M416" s="3"/>
      <c r="N416" s="3"/>
      <c r="O416" s="3"/>
      <c r="P416" s="3"/>
      <c r="Q416" s="3"/>
      <c r="R416" s="1"/>
    </row>
    <row r="417" spans="2:18" x14ac:dyDescent="0.2">
      <c r="B417">
        <v>405</v>
      </c>
      <c r="C417" s="1">
        <v>-0.22081806054127251</v>
      </c>
      <c r="D417" s="1">
        <f t="shared" si="48"/>
        <v>76.913341242508238</v>
      </c>
      <c r="E417" s="18">
        <f t="shared" si="49"/>
        <v>3.0866587574917617</v>
      </c>
      <c r="F417" s="1">
        <f t="shared" si="54"/>
        <v>80</v>
      </c>
      <c r="G417" s="9">
        <f t="shared" si="50"/>
        <v>0</v>
      </c>
      <c r="H417" s="9">
        <f t="shared" si="51"/>
        <v>80</v>
      </c>
      <c r="I417" s="9">
        <f t="shared" si="52"/>
        <v>0</v>
      </c>
      <c r="J417" s="9">
        <f t="shared" si="53"/>
        <v>0</v>
      </c>
      <c r="K417" s="1">
        <f t="shared" si="55"/>
        <v>80</v>
      </c>
      <c r="L417" s="1"/>
      <c r="M417" s="3"/>
      <c r="N417" s="3"/>
      <c r="O417" s="3"/>
      <c r="P417" s="3"/>
      <c r="Q417" s="3"/>
      <c r="R417" s="1"/>
    </row>
    <row r="418" spans="2:18" x14ac:dyDescent="0.2">
      <c r="B418">
        <v>406</v>
      </c>
      <c r="C418" s="1">
        <v>-0.2195614365459814</v>
      </c>
      <c r="D418" s="1">
        <f t="shared" si="48"/>
        <v>76.971353799849496</v>
      </c>
      <c r="E418" s="18">
        <f t="shared" si="49"/>
        <v>3.0286462001505043</v>
      </c>
      <c r="F418" s="1">
        <f t="shared" si="54"/>
        <v>80</v>
      </c>
      <c r="G418" s="9">
        <f t="shared" si="50"/>
        <v>0</v>
      </c>
      <c r="H418" s="9">
        <f t="shared" si="51"/>
        <v>80</v>
      </c>
      <c r="I418" s="9">
        <f t="shared" si="52"/>
        <v>0</v>
      </c>
      <c r="J418" s="9">
        <f t="shared" si="53"/>
        <v>0</v>
      </c>
      <c r="K418" s="1">
        <f t="shared" si="55"/>
        <v>80</v>
      </c>
      <c r="L418" s="1"/>
      <c r="M418" s="3"/>
      <c r="N418" s="3"/>
      <c r="O418" s="3"/>
      <c r="P418" s="3"/>
      <c r="Q418" s="3"/>
      <c r="R418" s="1"/>
    </row>
    <row r="419" spans="2:18" x14ac:dyDescent="0.2">
      <c r="B419">
        <v>407</v>
      </c>
      <c r="C419" s="1">
        <v>-0.21280824120940958</v>
      </c>
      <c r="D419" s="1">
        <f t="shared" si="48"/>
        <v>77.283868065760558</v>
      </c>
      <c r="E419" s="18">
        <f t="shared" si="49"/>
        <v>2.7161319342394421</v>
      </c>
      <c r="F419" s="1">
        <f t="shared" si="54"/>
        <v>80</v>
      </c>
      <c r="G419" s="9">
        <f t="shared" si="50"/>
        <v>0</v>
      </c>
      <c r="H419" s="9">
        <f t="shared" si="51"/>
        <v>80</v>
      </c>
      <c r="I419" s="9">
        <f t="shared" si="52"/>
        <v>0</v>
      </c>
      <c r="J419" s="9">
        <f t="shared" si="53"/>
        <v>0</v>
      </c>
      <c r="K419" s="1">
        <f t="shared" si="55"/>
        <v>80</v>
      </c>
      <c r="L419" s="1"/>
      <c r="M419" s="3"/>
      <c r="N419" s="3"/>
      <c r="O419" s="3"/>
      <c r="P419" s="3"/>
      <c r="Q419" s="3"/>
      <c r="R419" s="1"/>
    </row>
    <row r="420" spans="2:18" x14ac:dyDescent="0.2">
      <c r="B420">
        <v>408</v>
      </c>
      <c r="C420" s="1">
        <v>-0.20715188160649359</v>
      </c>
      <c r="D420" s="1">
        <f t="shared" si="48"/>
        <v>77.546600856494933</v>
      </c>
      <c r="E420" s="18">
        <f t="shared" si="49"/>
        <v>2.4533991435050666</v>
      </c>
      <c r="F420" s="1">
        <f t="shared" si="54"/>
        <v>80</v>
      </c>
      <c r="G420" s="9">
        <f t="shared" si="50"/>
        <v>0</v>
      </c>
      <c r="H420" s="9">
        <f t="shared" si="51"/>
        <v>80</v>
      </c>
      <c r="I420" s="9">
        <f t="shared" si="52"/>
        <v>0</v>
      </c>
      <c r="J420" s="9">
        <f t="shared" si="53"/>
        <v>0</v>
      </c>
      <c r="K420" s="1">
        <f t="shared" si="55"/>
        <v>80</v>
      </c>
      <c r="L420" s="1"/>
      <c r="M420" s="3"/>
      <c r="N420" s="3"/>
      <c r="O420" s="3"/>
      <c r="P420" s="3"/>
      <c r="Q420" s="3"/>
      <c r="R420" s="1"/>
    </row>
    <row r="421" spans="2:18" x14ac:dyDescent="0.2">
      <c r="B421">
        <v>409</v>
      </c>
      <c r="C421" s="1">
        <v>-0.2047538022210332</v>
      </c>
      <c r="D421" s="1">
        <f t="shared" si="48"/>
        <v>77.658258909649831</v>
      </c>
      <c r="E421" s="18">
        <f t="shared" si="49"/>
        <v>2.341741090350169</v>
      </c>
      <c r="F421" s="1">
        <f t="shared" si="54"/>
        <v>80</v>
      </c>
      <c r="G421" s="9">
        <f t="shared" si="50"/>
        <v>0</v>
      </c>
      <c r="H421" s="9">
        <f t="shared" si="51"/>
        <v>80</v>
      </c>
      <c r="I421" s="9">
        <f t="shared" si="52"/>
        <v>0</v>
      </c>
      <c r="J421" s="9">
        <f t="shared" si="53"/>
        <v>0</v>
      </c>
      <c r="K421" s="1">
        <f t="shared" si="55"/>
        <v>80</v>
      </c>
      <c r="L421" s="1"/>
      <c r="M421" s="3"/>
      <c r="N421" s="3"/>
      <c r="O421" s="3"/>
      <c r="P421" s="3"/>
      <c r="Q421" s="3"/>
      <c r="R421" s="1"/>
    </row>
    <row r="422" spans="2:18" x14ac:dyDescent="0.2">
      <c r="B422">
        <v>410</v>
      </c>
      <c r="C422" s="1">
        <v>-0.20359219943940465</v>
      </c>
      <c r="D422" s="1">
        <f t="shared" si="48"/>
        <v>77.71240260523787</v>
      </c>
      <c r="E422" s="18">
        <f t="shared" si="49"/>
        <v>2.2875973947621304</v>
      </c>
      <c r="F422" s="1">
        <f t="shared" si="54"/>
        <v>80</v>
      </c>
      <c r="G422" s="9">
        <f t="shared" si="50"/>
        <v>0</v>
      </c>
      <c r="H422" s="9">
        <f t="shared" si="51"/>
        <v>80</v>
      </c>
      <c r="I422" s="9">
        <f t="shared" si="52"/>
        <v>0</v>
      </c>
      <c r="J422" s="9">
        <f t="shared" si="53"/>
        <v>0</v>
      </c>
      <c r="K422" s="1">
        <f t="shared" si="55"/>
        <v>80</v>
      </c>
      <c r="L422" s="1"/>
      <c r="M422" s="3"/>
      <c r="N422" s="3"/>
      <c r="O422" s="3"/>
      <c r="P422" s="3"/>
      <c r="Q422" s="3"/>
      <c r="R422" s="1"/>
    </row>
    <row r="423" spans="2:18" x14ac:dyDescent="0.2">
      <c r="B423">
        <v>411</v>
      </c>
      <c r="C423" s="1">
        <v>-0.19628350343937065</v>
      </c>
      <c r="D423" s="1">
        <f t="shared" si="48"/>
        <v>78.053936704241195</v>
      </c>
      <c r="E423" s="18">
        <f t="shared" si="49"/>
        <v>1.9460632957588047</v>
      </c>
      <c r="F423" s="1">
        <f t="shared" si="54"/>
        <v>80</v>
      </c>
      <c r="G423" s="9">
        <f t="shared" si="50"/>
        <v>0</v>
      </c>
      <c r="H423" s="9">
        <f t="shared" si="51"/>
        <v>80</v>
      </c>
      <c r="I423" s="9">
        <f t="shared" si="52"/>
        <v>0</v>
      </c>
      <c r="J423" s="9">
        <f t="shared" si="53"/>
        <v>0</v>
      </c>
      <c r="K423" s="1">
        <f t="shared" si="55"/>
        <v>80</v>
      </c>
      <c r="L423" s="1"/>
      <c r="M423" s="3"/>
      <c r="N423" s="3"/>
      <c r="O423" s="3"/>
      <c r="P423" s="3"/>
      <c r="Q423" s="3"/>
      <c r="R423" s="1"/>
    </row>
    <row r="424" spans="2:18" x14ac:dyDescent="0.2">
      <c r="B424">
        <v>412</v>
      </c>
      <c r="C424" s="1">
        <v>-0.19370392032592595</v>
      </c>
      <c r="D424" s="1">
        <f t="shared" si="48"/>
        <v>78.17483821298913</v>
      </c>
      <c r="E424" s="18">
        <f t="shared" si="49"/>
        <v>1.8251617870108703</v>
      </c>
      <c r="F424" s="1">
        <f t="shared" si="54"/>
        <v>80</v>
      </c>
      <c r="G424" s="9">
        <f t="shared" si="50"/>
        <v>0</v>
      </c>
      <c r="H424" s="9">
        <f t="shared" si="51"/>
        <v>80</v>
      </c>
      <c r="I424" s="9">
        <f t="shared" si="52"/>
        <v>0</v>
      </c>
      <c r="J424" s="9">
        <f t="shared" si="53"/>
        <v>0</v>
      </c>
      <c r="K424" s="1">
        <f t="shared" si="55"/>
        <v>80</v>
      </c>
      <c r="L424" s="1"/>
      <c r="M424" s="3"/>
      <c r="N424" s="3"/>
      <c r="O424" s="3"/>
      <c r="P424" s="3"/>
      <c r="Q424" s="3"/>
      <c r="R424" s="1"/>
    </row>
    <row r="425" spans="2:18" x14ac:dyDescent="0.2">
      <c r="B425">
        <v>413</v>
      </c>
      <c r="C425" s="1">
        <v>-0.1921787731645879</v>
      </c>
      <c r="D425" s="1">
        <f t="shared" si="48"/>
        <v>78.246407833809201</v>
      </c>
      <c r="E425" s="18">
        <f t="shared" si="49"/>
        <v>1.7535921661907992</v>
      </c>
      <c r="F425" s="1">
        <f t="shared" si="54"/>
        <v>80</v>
      </c>
      <c r="G425" s="9">
        <f t="shared" si="50"/>
        <v>0</v>
      </c>
      <c r="H425" s="9">
        <f t="shared" si="51"/>
        <v>80</v>
      </c>
      <c r="I425" s="9">
        <f t="shared" si="52"/>
        <v>0</v>
      </c>
      <c r="J425" s="9">
        <f t="shared" si="53"/>
        <v>0</v>
      </c>
      <c r="K425" s="1">
        <f t="shared" si="55"/>
        <v>80</v>
      </c>
      <c r="L425" s="1"/>
      <c r="M425" s="3"/>
      <c r="N425" s="3"/>
      <c r="O425" s="3"/>
      <c r="P425" s="3"/>
      <c r="Q425" s="3"/>
      <c r="R425" s="1"/>
    </row>
    <row r="426" spans="2:18" x14ac:dyDescent="0.2">
      <c r="B426">
        <v>414</v>
      </c>
      <c r="C426" s="1">
        <v>-0.18727412881335118</v>
      </c>
      <c r="D426" s="1">
        <f t="shared" si="48"/>
        <v>78.477009454384586</v>
      </c>
      <c r="E426" s="18">
        <f t="shared" si="49"/>
        <v>1.5229905456154142</v>
      </c>
      <c r="F426" s="1">
        <f t="shared" si="54"/>
        <v>80</v>
      </c>
      <c r="G426" s="9">
        <f t="shared" si="50"/>
        <v>0</v>
      </c>
      <c r="H426" s="9">
        <f t="shared" si="51"/>
        <v>80</v>
      </c>
      <c r="I426" s="9">
        <f t="shared" si="52"/>
        <v>0</v>
      </c>
      <c r="J426" s="9">
        <f t="shared" si="53"/>
        <v>0</v>
      </c>
      <c r="K426" s="1">
        <f t="shared" si="55"/>
        <v>80</v>
      </c>
      <c r="L426" s="1"/>
      <c r="M426" s="3"/>
      <c r="N426" s="3"/>
      <c r="O426" s="3"/>
      <c r="P426" s="3"/>
      <c r="Q426" s="3"/>
      <c r="R426" s="1"/>
    </row>
    <row r="427" spans="2:18" x14ac:dyDescent="0.2">
      <c r="B427">
        <v>415</v>
      </c>
      <c r="C427" s="1">
        <v>-0.1850791172648929</v>
      </c>
      <c r="D427" s="1">
        <f t="shared" si="48"/>
        <v>78.58043230896817</v>
      </c>
      <c r="E427" s="18">
        <f t="shared" si="49"/>
        <v>1.4195676910318298</v>
      </c>
      <c r="F427" s="1">
        <f t="shared" si="54"/>
        <v>80</v>
      </c>
      <c r="G427" s="9">
        <f t="shared" si="50"/>
        <v>0</v>
      </c>
      <c r="H427" s="9">
        <f t="shared" si="51"/>
        <v>80</v>
      </c>
      <c r="I427" s="9">
        <f t="shared" si="52"/>
        <v>0</v>
      </c>
      <c r="J427" s="9">
        <f t="shared" si="53"/>
        <v>0</v>
      </c>
      <c r="K427" s="1">
        <f t="shared" si="55"/>
        <v>80</v>
      </c>
      <c r="L427" s="1"/>
      <c r="M427" s="3"/>
      <c r="N427" s="3"/>
      <c r="O427" s="3"/>
      <c r="P427" s="3"/>
      <c r="Q427" s="3"/>
      <c r="R427" s="1"/>
    </row>
    <row r="428" spans="2:18" x14ac:dyDescent="0.2">
      <c r="B428">
        <v>416</v>
      </c>
      <c r="C428" s="1">
        <v>-0.18134066457871645</v>
      </c>
      <c r="D428" s="1">
        <f t="shared" si="48"/>
        <v>78.756891677429977</v>
      </c>
      <c r="E428" s="18">
        <f t="shared" si="49"/>
        <v>1.2431083225700235</v>
      </c>
      <c r="F428" s="1">
        <f t="shared" si="54"/>
        <v>80</v>
      </c>
      <c r="G428" s="9">
        <f t="shared" si="50"/>
        <v>0</v>
      </c>
      <c r="H428" s="9">
        <f t="shared" si="51"/>
        <v>80</v>
      </c>
      <c r="I428" s="9">
        <f t="shared" si="52"/>
        <v>0</v>
      </c>
      <c r="J428" s="9">
        <f t="shared" si="53"/>
        <v>0</v>
      </c>
      <c r="K428" s="1">
        <f t="shared" si="55"/>
        <v>80</v>
      </c>
      <c r="L428" s="1"/>
      <c r="M428" s="3"/>
      <c r="N428" s="3"/>
      <c r="O428" s="3"/>
      <c r="P428" s="3"/>
      <c r="Q428" s="3"/>
      <c r="R428" s="1"/>
    </row>
    <row r="429" spans="2:18" x14ac:dyDescent="0.2">
      <c r="B429">
        <v>417</v>
      </c>
      <c r="C429" s="1">
        <v>-0.1734546171971898</v>
      </c>
      <c r="D429" s="1">
        <f t="shared" si="48"/>
        <v>79.130423033962472</v>
      </c>
      <c r="E429" s="18">
        <f t="shared" si="49"/>
        <v>0.86957696603752765</v>
      </c>
      <c r="F429" s="1">
        <f t="shared" si="54"/>
        <v>80</v>
      </c>
      <c r="G429" s="9">
        <f t="shared" si="50"/>
        <v>0</v>
      </c>
      <c r="H429" s="9">
        <f t="shared" si="51"/>
        <v>80</v>
      </c>
      <c r="I429" s="9">
        <f t="shared" si="52"/>
        <v>0</v>
      </c>
      <c r="J429" s="9">
        <f t="shared" si="53"/>
        <v>0</v>
      </c>
      <c r="K429" s="1">
        <f t="shared" si="55"/>
        <v>80</v>
      </c>
      <c r="L429" s="1"/>
      <c r="M429" s="3"/>
      <c r="N429" s="3"/>
      <c r="O429" s="3"/>
      <c r="P429" s="3"/>
      <c r="Q429" s="3"/>
      <c r="R429" s="1"/>
    </row>
    <row r="430" spans="2:18" x14ac:dyDescent="0.2">
      <c r="B430">
        <v>418</v>
      </c>
      <c r="C430" s="1">
        <v>-0.17334378156714533</v>
      </c>
      <c r="D430" s="1">
        <f t="shared" si="48"/>
        <v>79.135685491116448</v>
      </c>
      <c r="E430" s="18">
        <f t="shared" si="49"/>
        <v>0.86431450888355243</v>
      </c>
      <c r="F430" s="1">
        <f t="shared" si="54"/>
        <v>80</v>
      </c>
      <c r="G430" s="9">
        <f t="shared" si="50"/>
        <v>0</v>
      </c>
      <c r="H430" s="9">
        <f t="shared" si="51"/>
        <v>80</v>
      </c>
      <c r="I430" s="9">
        <f t="shared" si="52"/>
        <v>0</v>
      </c>
      <c r="J430" s="9">
        <f t="shared" si="53"/>
        <v>0</v>
      </c>
      <c r="K430" s="1">
        <f t="shared" si="55"/>
        <v>80</v>
      </c>
      <c r="L430" s="1"/>
      <c r="M430" s="3"/>
      <c r="N430" s="3"/>
      <c r="O430" s="3"/>
      <c r="P430" s="3"/>
      <c r="Q430" s="3"/>
      <c r="R430" s="1"/>
    </row>
    <row r="431" spans="2:18" x14ac:dyDescent="0.2">
      <c r="B431">
        <v>419</v>
      </c>
      <c r="C431" s="1">
        <v>-0.16802828051316163</v>
      </c>
      <c r="D431" s="1">
        <f t="shared" si="48"/>
        <v>79.388475880898554</v>
      </c>
      <c r="E431" s="18">
        <f t="shared" si="49"/>
        <v>0.61152411910144622</v>
      </c>
      <c r="F431" s="1">
        <f t="shared" si="54"/>
        <v>80</v>
      </c>
      <c r="G431" s="9">
        <f t="shared" si="50"/>
        <v>0</v>
      </c>
      <c r="H431" s="9">
        <f t="shared" si="51"/>
        <v>80</v>
      </c>
      <c r="I431" s="9">
        <f t="shared" si="52"/>
        <v>0</v>
      </c>
      <c r="J431" s="9">
        <f t="shared" si="53"/>
        <v>0</v>
      </c>
      <c r="K431" s="1">
        <f t="shared" si="55"/>
        <v>80</v>
      </c>
      <c r="L431" s="1"/>
      <c r="M431" s="3"/>
      <c r="N431" s="3"/>
      <c r="O431" s="3"/>
      <c r="P431" s="3"/>
      <c r="Q431" s="3"/>
      <c r="R431" s="1"/>
    </row>
    <row r="432" spans="2:18" x14ac:dyDescent="0.2">
      <c r="B432">
        <v>420</v>
      </c>
      <c r="C432" s="1">
        <v>-0.16664540085249702</v>
      </c>
      <c r="D432" s="1">
        <f t="shared" si="48"/>
        <v>79.454374041037653</v>
      </c>
      <c r="E432" s="18">
        <f t="shared" si="49"/>
        <v>0.54562595896234711</v>
      </c>
      <c r="F432" s="1">
        <f t="shared" si="54"/>
        <v>80</v>
      </c>
      <c r="G432" s="9">
        <f t="shared" si="50"/>
        <v>0</v>
      </c>
      <c r="H432" s="9">
        <f t="shared" si="51"/>
        <v>80</v>
      </c>
      <c r="I432" s="9">
        <f t="shared" si="52"/>
        <v>0</v>
      </c>
      <c r="J432" s="9">
        <f t="shared" si="53"/>
        <v>0</v>
      </c>
      <c r="K432" s="1">
        <f t="shared" si="55"/>
        <v>80</v>
      </c>
      <c r="L432" s="1"/>
      <c r="M432" s="3"/>
      <c r="N432" s="3"/>
      <c r="O432" s="3"/>
      <c r="P432" s="3"/>
      <c r="Q432" s="3"/>
      <c r="R432" s="1"/>
    </row>
    <row r="433" spans="2:18" x14ac:dyDescent="0.2">
      <c r="B433">
        <v>421</v>
      </c>
      <c r="C433" s="1">
        <v>-0.16290884403467581</v>
      </c>
      <c r="D433" s="1">
        <f t="shared" si="48"/>
        <v>79.632705339668746</v>
      </c>
      <c r="E433" s="18">
        <f t="shared" si="49"/>
        <v>0.36729466033125391</v>
      </c>
      <c r="F433" s="1">
        <f t="shared" si="54"/>
        <v>80</v>
      </c>
      <c r="G433" s="9">
        <f t="shared" si="50"/>
        <v>0</v>
      </c>
      <c r="H433" s="9">
        <f t="shared" si="51"/>
        <v>80</v>
      </c>
      <c r="I433" s="9">
        <f t="shared" si="52"/>
        <v>0</v>
      </c>
      <c r="J433" s="9">
        <f t="shared" si="53"/>
        <v>0</v>
      </c>
      <c r="K433" s="1">
        <f t="shared" si="55"/>
        <v>80</v>
      </c>
      <c r="L433" s="1"/>
      <c r="M433" s="3"/>
      <c r="N433" s="3"/>
      <c r="O433" s="3"/>
      <c r="P433" s="3"/>
      <c r="Q433" s="3"/>
      <c r="R433" s="1"/>
    </row>
    <row r="434" spans="2:18" x14ac:dyDescent="0.2">
      <c r="B434">
        <v>422</v>
      </c>
      <c r="C434" s="1">
        <v>-0.16218134378439503</v>
      </c>
      <c r="D434" s="1">
        <f t="shared" si="48"/>
        <v>79.66747261491625</v>
      </c>
      <c r="E434" s="18">
        <f t="shared" si="49"/>
        <v>0.33252738508375046</v>
      </c>
      <c r="F434" s="1">
        <f t="shared" si="54"/>
        <v>80</v>
      </c>
      <c r="G434" s="9">
        <f t="shared" si="50"/>
        <v>0</v>
      </c>
      <c r="H434" s="9">
        <f t="shared" si="51"/>
        <v>80</v>
      </c>
      <c r="I434" s="9">
        <f t="shared" si="52"/>
        <v>0</v>
      </c>
      <c r="J434" s="9">
        <f t="shared" si="53"/>
        <v>0</v>
      </c>
      <c r="K434" s="1">
        <f t="shared" si="55"/>
        <v>80</v>
      </c>
      <c r="L434" s="1"/>
      <c r="M434" s="3"/>
      <c r="N434" s="3"/>
      <c r="O434" s="3"/>
      <c r="P434" s="3"/>
      <c r="Q434" s="3"/>
      <c r="R434" s="1"/>
    </row>
    <row r="435" spans="2:18" x14ac:dyDescent="0.2">
      <c r="B435">
        <v>423</v>
      </c>
      <c r="C435" s="1">
        <v>-0.16157529987921163</v>
      </c>
      <c r="D435" s="1">
        <f t="shared" si="48"/>
        <v>79.696447074267112</v>
      </c>
      <c r="E435" s="18">
        <f t="shared" si="49"/>
        <v>0.3035529257328875</v>
      </c>
      <c r="F435" s="1">
        <f t="shared" si="54"/>
        <v>80</v>
      </c>
      <c r="G435" s="9">
        <f t="shared" si="50"/>
        <v>0</v>
      </c>
      <c r="H435" s="9">
        <f t="shared" si="51"/>
        <v>80</v>
      </c>
      <c r="I435" s="9">
        <f t="shared" si="52"/>
        <v>0</v>
      </c>
      <c r="J435" s="9">
        <f t="shared" si="53"/>
        <v>0</v>
      </c>
      <c r="K435" s="1">
        <f t="shared" si="55"/>
        <v>80</v>
      </c>
      <c r="L435" s="1"/>
      <c r="M435" s="3"/>
      <c r="N435" s="3"/>
      <c r="O435" s="3"/>
      <c r="P435" s="3"/>
      <c r="Q435" s="3"/>
      <c r="R435" s="1"/>
    </row>
    <row r="436" spans="2:18" x14ac:dyDescent="0.2">
      <c r="B436">
        <v>424</v>
      </c>
      <c r="C436" s="1">
        <v>-0.15591433779601965</v>
      </c>
      <c r="D436" s="1">
        <f t="shared" si="48"/>
        <v>79.967602452706132</v>
      </c>
      <c r="E436" s="18">
        <f t="shared" si="49"/>
        <v>3.2397547293868456E-2</v>
      </c>
      <c r="F436" s="1">
        <f t="shared" si="54"/>
        <v>80</v>
      </c>
      <c r="G436" s="9">
        <f t="shared" si="50"/>
        <v>0</v>
      </c>
      <c r="H436" s="9">
        <f t="shared" si="51"/>
        <v>80</v>
      </c>
      <c r="I436" s="9">
        <f t="shared" si="52"/>
        <v>0</v>
      </c>
      <c r="J436" s="9">
        <f t="shared" si="53"/>
        <v>0</v>
      </c>
      <c r="K436" s="1">
        <f t="shared" si="55"/>
        <v>80</v>
      </c>
      <c r="L436" s="1"/>
      <c r="M436" s="3"/>
      <c r="N436" s="3"/>
      <c r="O436" s="3"/>
      <c r="P436" s="3"/>
      <c r="Q436" s="3"/>
      <c r="R436" s="1"/>
    </row>
    <row r="437" spans="2:18" x14ac:dyDescent="0.2">
      <c r="B437">
        <v>425</v>
      </c>
      <c r="C437" s="1">
        <v>-0.1558737425957083</v>
      </c>
      <c r="D437" s="1">
        <f t="shared" si="48"/>
        <v>79.96955025693147</v>
      </c>
      <c r="E437" s="18">
        <f t="shared" si="49"/>
        <v>3.0449743068530211E-2</v>
      </c>
      <c r="F437" s="1">
        <f t="shared" si="54"/>
        <v>80</v>
      </c>
      <c r="G437" s="9">
        <f t="shared" si="50"/>
        <v>0</v>
      </c>
      <c r="H437" s="9">
        <f t="shared" si="51"/>
        <v>80</v>
      </c>
      <c r="I437" s="9">
        <f t="shared" si="52"/>
        <v>0</v>
      </c>
      <c r="J437" s="9">
        <f t="shared" si="53"/>
        <v>0</v>
      </c>
      <c r="K437" s="1">
        <f t="shared" si="55"/>
        <v>80</v>
      </c>
      <c r="L437" s="1"/>
      <c r="M437" s="3"/>
      <c r="N437" s="3"/>
      <c r="O437" s="3"/>
      <c r="P437" s="3"/>
      <c r="Q437" s="3"/>
      <c r="R437" s="1"/>
    </row>
    <row r="438" spans="2:18" x14ac:dyDescent="0.2">
      <c r="B438">
        <v>426</v>
      </c>
      <c r="C438" s="1">
        <v>-0.15551178347556305</v>
      </c>
      <c r="D438" s="1">
        <f t="shared" si="48"/>
        <v>79.986919567786998</v>
      </c>
      <c r="E438" s="18">
        <f t="shared" si="49"/>
        <v>1.3080432213001814E-2</v>
      </c>
      <c r="F438" s="1">
        <f t="shared" si="54"/>
        <v>80</v>
      </c>
      <c r="G438" s="9">
        <f t="shared" si="50"/>
        <v>0</v>
      </c>
      <c r="H438" s="9">
        <f t="shared" si="51"/>
        <v>80</v>
      </c>
      <c r="I438" s="9">
        <f t="shared" si="52"/>
        <v>0</v>
      </c>
      <c r="J438" s="9">
        <f t="shared" si="53"/>
        <v>0</v>
      </c>
      <c r="K438" s="1">
        <f t="shared" si="55"/>
        <v>80</v>
      </c>
      <c r="L438" s="1"/>
      <c r="M438" s="3"/>
      <c r="N438" s="3"/>
      <c r="O438" s="3"/>
      <c r="P438" s="3"/>
      <c r="Q438" s="3"/>
      <c r="R438" s="1"/>
    </row>
    <row r="439" spans="2:18" x14ac:dyDescent="0.2">
      <c r="B439">
        <v>427</v>
      </c>
      <c r="C439" s="1">
        <v>-0.1552870070241569</v>
      </c>
      <c r="D439" s="1">
        <f t="shared" si="48"/>
        <v>79.997707800816485</v>
      </c>
      <c r="E439" s="18">
        <f t="shared" si="49"/>
        <v>2.2921991835147537E-3</v>
      </c>
      <c r="F439" s="1">
        <f t="shared" si="54"/>
        <v>80</v>
      </c>
      <c r="G439" s="9">
        <f t="shared" si="50"/>
        <v>0</v>
      </c>
      <c r="H439" s="9">
        <f t="shared" si="51"/>
        <v>80</v>
      </c>
      <c r="I439" s="9">
        <f t="shared" si="52"/>
        <v>0</v>
      </c>
      <c r="J439" s="9">
        <f t="shared" si="53"/>
        <v>0</v>
      </c>
      <c r="K439" s="1">
        <f t="shared" si="55"/>
        <v>80</v>
      </c>
      <c r="L439" s="1"/>
      <c r="M439" s="3"/>
      <c r="N439" s="3"/>
      <c r="O439" s="3"/>
      <c r="P439" s="3"/>
      <c r="Q439" s="3"/>
      <c r="R439" s="1"/>
    </row>
    <row r="440" spans="2:18" x14ac:dyDescent="0.2">
      <c r="B440">
        <v>428</v>
      </c>
      <c r="C440" s="1">
        <v>-0.15363620259637456</v>
      </c>
      <c r="D440" s="1">
        <f t="shared" si="48"/>
        <v>80.076983397036926</v>
      </c>
      <c r="E440" s="18">
        <f t="shared" ref="E440:E503" si="56">-MIN(D440-F,(-IF(AND(D440&gt;=F-dis, D440&lt;F), F-D440, IF(D440&gt;=F, $E$7, 0))))</f>
        <v>-7.6983397036926249E-2</v>
      </c>
      <c r="F440" s="1">
        <f>D440+E440</f>
        <v>80</v>
      </c>
      <c r="G440" s="9">
        <f t="shared" si="50"/>
        <v>0</v>
      </c>
      <c r="H440" s="9">
        <f t="shared" si="51"/>
        <v>80</v>
      </c>
      <c r="I440" s="9">
        <f t="shared" si="52"/>
        <v>0</v>
      </c>
      <c r="J440" s="9">
        <f t="shared" si="53"/>
        <v>0</v>
      </c>
      <c r="K440" s="1">
        <f t="shared" si="55"/>
        <v>80</v>
      </c>
      <c r="L440" s="1"/>
      <c r="M440" s="21"/>
      <c r="N440" s="3"/>
      <c r="O440" s="3"/>
      <c r="P440" s="3"/>
      <c r="Q440" s="3"/>
      <c r="R440" s="1"/>
    </row>
    <row r="441" spans="2:18" x14ac:dyDescent="0.2">
      <c r="B441">
        <v>429</v>
      </c>
      <c r="C441" s="1">
        <v>-0.15267363629532488</v>
      </c>
      <c r="D441" s="1">
        <f t="shared" si="48"/>
        <v>80.123244397959837</v>
      </c>
      <c r="E441" s="18">
        <f t="shared" si="56"/>
        <v>-0.12324439795983722</v>
      </c>
      <c r="F441" s="1">
        <f t="shared" si="54"/>
        <v>80</v>
      </c>
      <c r="G441" s="9">
        <f t="shared" si="50"/>
        <v>0</v>
      </c>
      <c r="H441" s="9">
        <f t="shared" si="51"/>
        <v>80</v>
      </c>
      <c r="I441" s="9">
        <f t="shared" si="52"/>
        <v>0</v>
      </c>
      <c r="J441" s="9">
        <f t="shared" si="53"/>
        <v>0</v>
      </c>
      <c r="K441" s="1">
        <f t="shared" si="55"/>
        <v>80</v>
      </c>
      <c r="L441" s="1"/>
      <c r="M441" s="3"/>
      <c r="N441" s="3"/>
      <c r="O441" s="3"/>
      <c r="P441" s="3"/>
      <c r="Q441" s="3"/>
      <c r="R441" s="1"/>
    </row>
    <row r="442" spans="2:18" x14ac:dyDescent="0.2">
      <c r="B442">
        <v>430</v>
      </c>
      <c r="C442" s="1">
        <v>-0.15123138266884525</v>
      </c>
      <c r="D442" s="1">
        <f t="shared" si="48"/>
        <v>80.192609230014412</v>
      </c>
      <c r="E442" s="18">
        <f t="shared" si="56"/>
        <v>-0.19260923001441199</v>
      </c>
      <c r="F442" s="1">
        <f t="shared" si="54"/>
        <v>80</v>
      </c>
      <c r="G442" s="9">
        <f t="shared" si="50"/>
        <v>0</v>
      </c>
      <c r="H442" s="9">
        <f t="shared" si="51"/>
        <v>80</v>
      </c>
      <c r="I442" s="9">
        <f t="shared" si="52"/>
        <v>0</v>
      </c>
      <c r="J442" s="9">
        <f t="shared" si="53"/>
        <v>0</v>
      </c>
      <c r="K442" s="1">
        <f t="shared" si="55"/>
        <v>80</v>
      </c>
      <c r="L442" s="1"/>
      <c r="M442" s="3"/>
      <c r="N442" s="3"/>
      <c r="O442" s="3"/>
      <c r="P442" s="3"/>
      <c r="Q442" s="3"/>
      <c r="R442" s="1"/>
    </row>
    <row r="443" spans="2:18" x14ac:dyDescent="0.2">
      <c r="B443">
        <v>431</v>
      </c>
      <c r="C443" s="1">
        <v>-0.15078326414328563</v>
      </c>
      <c r="D443" s="1">
        <f t="shared" si="48"/>
        <v>80.214173605188662</v>
      </c>
      <c r="E443" s="18">
        <f t="shared" si="56"/>
        <v>-0.21417360518866246</v>
      </c>
      <c r="F443" s="1">
        <f t="shared" si="54"/>
        <v>80</v>
      </c>
      <c r="G443" s="9">
        <f t="shared" si="50"/>
        <v>0</v>
      </c>
      <c r="H443" s="9">
        <f t="shared" si="51"/>
        <v>80</v>
      </c>
      <c r="I443" s="9">
        <f t="shared" si="52"/>
        <v>0</v>
      </c>
      <c r="J443" s="9">
        <f t="shared" si="53"/>
        <v>0</v>
      </c>
      <c r="K443" s="1">
        <f t="shared" si="55"/>
        <v>80</v>
      </c>
      <c r="L443" s="1"/>
      <c r="M443" s="3"/>
      <c r="N443" s="3"/>
      <c r="O443" s="3"/>
      <c r="P443" s="3"/>
      <c r="Q443" s="3"/>
      <c r="R443" s="1"/>
    </row>
    <row r="444" spans="2:18" x14ac:dyDescent="0.2">
      <c r="B444">
        <v>432</v>
      </c>
      <c r="C444" s="1">
        <v>-0.15025235920361774</v>
      </c>
      <c r="D444" s="1">
        <f t="shared" si="48"/>
        <v>80.239729335870692</v>
      </c>
      <c r="E444" s="18">
        <f t="shared" si="56"/>
        <v>-0.23972933587069178</v>
      </c>
      <c r="F444" s="1">
        <f t="shared" si="54"/>
        <v>80</v>
      </c>
      <c r="G444" s="9">
        <f t="shared" si="50"/>
        <v>0</v>
      </c>
      <c r="H444" s="9">
        <f t="shared" si="51"/>
        <v>80</v>
      </c>
      <c r="I444" s="9">
        <f t="shared" si="52"/>
        <v>0</v>
      </c>
      <c r="J444" s="9">
        <f t="shared" si="53"/>
        <v>0</v>
      </c>
      <c r="K444" s="1">
        <f t="shared" si="55"/>
        <v>80</v>
      </c>
      <c r="L444" s="1"/>
      <c r="M444" s="3"/>
      <c r="N444" s="3"/>
      <c r="O444" s="3"/>
      <c r="P444" s="3"/>
      <c r="Q444" s="3"/>
      <c r="R444" s="1"/>
    </row>
    <row r="445" spans="2:18" x14ac:dyDescent="0.2">
      <c r="B445">
        <v>433</v>
      </c>
      <c r="C445" s="1">
        <v>-0.14879045382791281</v>
      </c>
      <c r="D445" s="1">
        <f t="shared" si="48"/>
        <v>80.310141947325477</v>
      </c>
      <c r="E445" s="18">
        <f t="shared" si="56"/>
        <v>-0.31014194732547651</v>
      </c>
      <c r="F445" s="1">
        <f t="shared" si="54"/>
        <v>80</v>
      </c>
      <c r="G445" s="9">
        <f t="shared" si="50"/>
        <v>0</v>
      </c>
      <c r="H445" s="9">
        <f t="shared" si="51"/>
        <v>80</v>
      </c>
      <c r="I445" s="9">
        <f t="shared" si="52"/>
        <v>0</v>
      </c>
      <c r="J445" s="9">
        <f t="shared" si="53"/>
        <v>0</v>
      </c>
      <c r="K445" s="1">
        <f t="shared" si="55"/>
        <v>80</v>
      </c>
      <c r="L445" s="1"/>
      <c r="M445" s="3"/>
      <c r="N445" s="3"/>
      <c r="O445" s="3"/>
      <c r="P445" s="3"/>
      <c r="Q445" s="3"/>
      <c r="R445" s="1"/>
    </row>
    <row r="446" spans="2:18" x14ac:dyDescent="0.2">
      <c r="B446">
        <v>434</v>
      </c>
      <c r="C446" s="1">
        <v>-0.14773208956170655</v>
      </c>
      <c r="D446" s="1">
        <f t="shared" si="48"/>
        <v>80.361156573899123</v>
      </c>
      <c r="E446" s="18">
        <f t="shared" si="56"/>
        <v>-0.36115657389912315</v>
      </c>
      <c r="F446" s="1">
        <f t="shared" si="54"/>
        <v>80</v>
      </c>
      <c r="G446" s="9">
        <f t="shared" si="50"/>
        <v>0</v>
      </c>
      <c r="H446" s="9">
        <f t="shared" si="51"/>
        <v>80</v>
      </c>
      <c r="I446" s="9">
        <f t="shared" si="52"/>
        <v>0</v>
      </c>
      <c r="J446" s="9">
        <f t="shared" si="53"/>
        <v>0</v>
      </c>
      <c r="K446" s="1">
        <f t="shared" si="55"/>
        <v>80</v>
      </c>
      <c r="L446" s="1"/>
      <c r="M446" s="3"/>
      <c r="N446" s="3"/>
      <c r="O446" s="3"/>
      <c r="P446" s="3"/>
      <c r="Q446" s="3"/>
      <c r="R446" s="1"/>
    </row>
    <row r="447" spans="2:18" x14ac:dyDescent="0.2">
      <c r="B447">
        <v>435</v>
      </c>
      <c r="C447" s="1">
        <v>-0.14554029106497532</v>
      </c>
      <c r="D447" s="1">
        <f t="shared" si="48"/>
        <v>80.466907371294553</v>
      </c>
      <c r="E447" s="18">
        <f t="shared" si="56"/>
        <v>-0.46690737129455329</v>
      </c>
      <c r="F447" s="1">
        <f t="shared" si="54"/>
        <v>80</v>
      </c>
      <c r="G447" s="9">
        <f t="shared" si="50"/>
        <v>0</v>
      </c>
      <c r="H447" s="9">
        <f t="shared" si="51"/>
        <v>80</v>
      </c>
      <c r="I447" s="9">
        <f t="shared" si="52"/>
        <v>0</v>
      </c>
      <c r="J447" s="9">
        <f t="shared" si="53"/>
        <v>0</v>
      </c>
      <c r="K447" s="1">
        <f t="shared" si="55"/>
        <v>80</v>
      </c>
      <c r="L447" s="1"/>
      <c r="M447" s="3"/>
      <c r="N447" s="3"/>
      <c r="O447" s="3"/>
      <c r="P447" s="3"/>
      <c r="Q447" s="3"/>
      <c r="R447" s="1"/>
    </row>
    <row r="448" spans="2:18" x14ac:dyDescent="0.2">
      <c r="B448">
        <v>436</v>
      </c>
      <c r="C448" s="1">
        <v>-0.145215018281146</v>
      </c>
      <c r="D448" s="1">
        <f t="shared" si="48"/>
        <v>80.482613120820659</v>
      </c>
      <c r="E448" s="18">
        <f t="shared" si="56"/>
        <v>-0.48261312082065899</v>
      </c>
      <c r="F448" s="1">
        <f t="shared" si="54"/>
        <v>80</v>
      </c>
      <c r="G448" s="9">
        <f t="shared" si="50"/>
        <v>0</v>
      </c>
      <c r="H448" s="9">
        <f t="shared" si="51"/>
        <v>80</v>
      </c>
      <c r="I448" s="9">
        <f t="shared" si="52"/>
        <v>0</v>
      </c>
      <c r="J448" s="9">
        <f t="shared" si="53"/>
        <v>0</v>
      </c>
      <c r="K448" s="1">
        <f t="shared" si="55"/>
        <v>80</v>
      </c>
      <c r="L448" s="1"/>
      <c r="M448" s="3"/>
      <c r="N448" s="3"/>
      <c r="O448" s="3"/>
      <c r="P448" s="3"/>
      <c r="Q448" s="3"/>
      <c r="R448" s="1"/>
    </row>
    <row r="449" spans="2:18" x14ac:dyDescent="0.2">
      <c r="B449">
        <v>437</v>
      </c>
      <c r="C449" s="1">
        <v>-0.14340771275493028</v>
      </c>
      <c r="D449" s="1">
        <f t="shared" si="48"/>
        <v>80.569934460040187</v>
      </c>
      <c r="E449" s="18">
        <f t="shared" si="56"/>
        <v>-0.56993446004018722</v>
      </c>
      <c r="F449" s="1">
        <f t="shared" si="54"/>
        <v>80</v>
      </c>
      <c r="G449" s="9">
        <f t="shared" si="50"/>
        <v>0</v>
      </c>
      <c r="H449" s="9">
        <f t="shared" si="51"/>
        <v>80</v>
      </c>
      <c r="I449" s="9">
        <f t="shared" si="52"/>
        <v>0</v>
      </c>
      <c r="J449" s="9">
        <f t="shared" si="53"/>
        <v>0</v>
      </c>
      <c r="K449" s="1">
        <f t="shared" si="55"/>
        <v>80</v>
      </c>
      <c r="L449" s="1"/>
      <c r="M449" s="3"/>
      <c r="N449" s="3"/>
      <c r="O449" s="3"/>
      <c r="P449" s="3"/>
      <c r="Q449" s="3"/>
      <c r="R449" s="1"/>
    </row>
    <row r="450" spans="2:18" x14ac:dyDescent="0.2">
      <c r="B450">
        <v>438</v>
      </c>
      <c r="C450" s="1">
        <v>-0.14153483023055105</v>
      </c>
      <c r="D450" s="1">
        <f t="shared" si="48"/>
        <v>80.660524163013193</v>
      </c>
      <c r="E450" s="18">
        <f t="shared" si="56"/>
        <v>-0.66052416301319283</v>
      </c>
      <c r="F450" s="1">
        <f t="shared" si="54"/>
        <v>80</v>
      </c>
      <c r="G450" s="9">
        <f t="shared" si="50"/>
        <v>0</v>
      </c>
      <c r="H450" s="9">
        <f t="shared" si="51"/>
        <v>80</v>
      </c>
      <c r="I450" s="9">
        <f t="shared" si="52"/>
        <v>0</v>
      </c>
      <c r="J450" s="9">
        <f t="shared" si="53"/>
        <v>0</v>
      </c>
      <c r="K450" s="1">
        <f t="shared" si="55"/>
        <v>80</v>
      </c>
      <c r="L450" s="1"/>
      <c r="M450" s="3"/>
      <c r="N450" s="3"/>
      <c r="O450" s="3"/>
      <c r="P450" s="3"/>
      <c r="Q450" s="3"/>
      <c r="R450" s="1"/>
    </row>
    <row r="451" spans="2:18" x14ac:dyDescent="0.2">
      <c r="B451">
        <v>439</v>
      </c>
      <c r="C451" s="1">
        <v>-0.13789079909407648</v>
      </c>
      <c r="D451" s="1">
        <f t="shared" si="48"/>
        <v>80.837074776381243</v>
      </c>
      <c r="E451" s="18">
        <f t="shared" si="56"/>
        <v>-0.83707477638124317</v>
      </c>
      <c r="F451" s="1">
        <f t="shared" si="54"/>
        <v>80</v>
      </c>
      <c r="G451" s="9">
        <f t="shared" si="50"/>
        <v>0</v>
      </c>
      <c r="H451" s="9">
        <f t="shared" si="51"/>
        <v>80</v>
      </c>
      <c r="I451" s="9">
        <f t="shared" si="52"/>
        <v>0</v>
      </c>
      <c r="J451" s="9">
        <f t="shared" si="53"/>
        <v>0</v>
      </c>
      <c r="K451" s="1">
        <f t="shared" si="55"/>
        <v>80</v>
      </c>
      <c r="L451" s="1"/>
      <c r="M451" s="3"/>
      <c r="N451" s="3"/>
      <c r="O451" s="3"/>
      <c r="P451" s="3"/>
      <c r="Q451" s="3"/>
      <c r="R451" s="1"/>
    </row>
    <row r="452" spans="2:18" x14ac:dyDescent="0.2">
      <c r="B452">
        <v>440</v>
      </c>
      <c r="C452" s="1">
        <v>-0.13436509393760102</v>
      </c>
      <c r="D452" s="1">
        <f t="shared" si="48"/>
        <v>81.008260392369863</v>
      </c>
      <c r="E452" s="18">
        <f t="shared" si="56"/>
        <v>-1.0082603923698628</v>
      </c>
      <c r="F452" s="1">
        <f t="shared" si="54"/>
        <v>80</v>
      </c>
      <c r="G452" s="9">
        <f t="shared" si="50"/>
        <v>0</v>
      </c>
      <c r="H452" s="9">
        <f t="shared" si="51"/>
        <v>80</v>
      </c>
      <c r="I452" s="9">
        <f t="shared" si="52"/>
        <v>0</v>
      </c>
      <c r="J452" s="9">
        <f t="shared" si="53"/>
        <v>0</v>
      </c>
      <c r="K452" s="1">
        <f t="shared" si="55"/>
        <v>80</v>
      </c>
      <c r="L452" s="1"/>
      <c r="M452" s="3"/>
      <c r="N452" s="3"/>
      <c r="O452" s="3"/>
      <c r="P452" s="3"/>
      <c r="Q452" s="3"/>
      <c r="R452" s="1"/>
    </row>
    <row r="453" spans="2:18" x14ac:dyDescent="0.2">
      <c r="B453">
        <v>441</v>
      </c>
      <c r="C453" s="1">
        <v>-0.13351770851865283</v>
      </c>
      <c r="D453" s="1">
        <f t="shared" si="48"/>
        <v>81.049457995759411</v>
      </c>
      <c r="E453" s="18">
        <f t="shared" si="56"/>
        <v>-1.0494579957594112</v>
      </c>
      <c r="F453" s="1">
        <f t="shared" si="54"/>
        <v>80</v>
      </c>
      <c r="G453" s="9">
        <f t="shared" si="50"/>
        <v>0</v>
      </c>
      <c r="H453" s="9">
        <f t="shared" si="51"/>
        <v>80</v>
      </c>
      <c r="I453" s="9">
        <f t="shared" si="52"/>
        <v>0</v>
      </c>
      <c r="J453" s="9">
        <f t="shared" si="53"/>
        <v>0</v>
      </c>
      <c r="K453" s="1">
        <f t="shared" si="55"/>
        <v>80</v>
      </c>
      <c r="L453" s="1"/>
      <c r="M453" s="3"/>
      <c r="N453" s="3"/>
      <c r="O453" s="3"/>
      <c r="P453" s="3"/>
      <c r="Q453" s="3"/>
      <c r="R453" s="1"/>
    </row>
    <row r="454" spans="2:18" x14ac:dyDescent="0.2">
      <c r="B454">
        <v>442</v>
      </c>
      <c r="C454" s="1">
        <v>-0.13319228081514017</v>
      </c>
      <c r="D454" s="1">
        <f t="shared" si="48"/>
        <v>81.065284984263201</v>
      </c>
      <c r="E454" s="18">
        <f t="shared" si="56"/>
        <v>-1.0652849842632008</v>
      </c>
      <c r="F454" s="1">
        <f t="shared" si="54"/>
        <v>80</v>
      </c>
      <c r="G454" s="9">
        <f t="shared" si="50"/>
        <v>0</v>
      </c>
      <c r="H454" s="9">
        <f t="shared" si="51"/>
        <v>80</v>
      </c>
      <c r="I454" s="9">
        <f t="shared" si="52"/>
        <v>0</v>
      </c>
      <c r="J454" s="9">
        <f t="shared" si="53"/>
        <v>0</v>
      </c>
      <c r="K454" s="1">
        <f t="shared" si="55"/>
        <v>80</v>
      </c>
      <c r="L454" s="1"/>
      <c r="M454" s="3"/>
      <c r="N454" s="3"/>
      <c r="O454" s="3"/>
      <c r="P454" s="3"/>
      <c r="Q454" s="3"/>
      <c r="R454" s="1"/>
    </row>
    <row r="455" spans="2:18" x14ac:dyDescent="0.2">
      <c r="B455">
        <v>443</v>
      </c>
      <c r="C455" s="1">
        <v>-0.13244991531298644</v>
      </c>
      <c r="D455" s="1">
        <f t="shared" si="48"/>
        <v>81.101401069663581</v>
      </c>
      <c r="E455" s="18">
        <f t="shared" si="56"/>
        <v>-1.1014010696635808</v>
      </c>
      <c r="F455" s="1">
        <f t="shared" si="54"/>
        <v>80</v>
      </c>
      <c r="G455" s="9">
        <f t="shared" si="50"/>
        <v>0</v>
      </c>
      <c r="H455" s="9">
        <f t="shared" si="51"/>
        <v>80</v>
      </c>
      <c r="I455" s="9">
        <f t="shared" si="52"/>
        <v>0</v>
      </c>
      <c r="J455" s="9">
        <f t="shared" si="53"/>
        <v>0</v>
      </c>
      <c r="K455" s="1">
        <f t="shared" si="55"/>
        <v>80</v>
      </c>
      <c r="L455" s="1"/>
      <c r="M455" s="3"/>
      <c r="N455" s="3"/>
      <c r="O455" s="3"/>
      <c r="P455" s="3"/>
      <c r="Q455" s="3"/>
      <c r="R455" s="1"/>
    </row>
    <row r="456" spans="2:18" x14ac:dyDescent="0.2">
      <c r="B456">
        <v>444</v>
      </c>
      <c r="C456" s="1">
        <v>-0.12860736072308346</v>
      </c>
      <c r="D456" s="1">
        <f t="shared" si="48"/>
        <v>81.288598718455191</v>
      </c>
      <c r="E456" s="18">
        <f t="shared" si="56"/>
        <v>-1.2885987184551908</v>
      </c>
      <c r="F456" s="1">
        <f t="shared" si="54"/>
        <v>80</v>
      </c>
      <c r="G456" s="9">
        <f t="shared" si="50"/>
        <v>0</v>
      </c>
      <c r="H456" s="9">
        <f t="shared" si="51"/>
        <v>80</v>
      </c>
      <c r="I456" s="9">
        <f t="shared" si="52"/>
        <v>0</v>
      </c>
      <c r="J456" s="9">
        <f t="shared" si="53"/>
        <v>0</v>
      </c>
      <c r="K456" s="1">
        <f t="shared" si="55"/>
        <v>80</v>
      </c>
      <c r="L456" s="1"/>
      <c r="M456" s="3"/>
      <c r="N456" s="3"/>
      <c r="O456" s="3"/>
      <c r="P456" s="3"/>
      <c r="Q456" s="3"/>
      <c r="R456" s="1"/>
    </row>
    <row r="457" spans="2:18" x14ac:dyDescent="0.2">
      <c r="B457">
        <v>445</v>
      </c>
      <c r="C457" s="1">
        <v>-0.12790978733326785</v>
      </c>
      <c r="D457" s="1">
        <f t="shared" si="48"/>
        <v>81.322628697497592</v>
      </c>
      <c r="E457" s="18">
        <f t="shared" si="56"/>
        <v>-1.322628697497592</v>
      </c>
      <c r="F457" s="1">
        <f t="shared" si="54"/>
        <v>80</v>
      </c>
      <c r="G457" s="9">
        <f t="shared" si="50"/>
        <v>0</v>
      </c>
      <c r="H457" s="9">
        <f t="shared" si="51"/>
        <v>80</v>
      </c>
      <c r="I457" s="9">
        <f t="shared" si="52"/>
        <v>0</v>
      </c>
      <c r="J457" s="9">
        <f t="shared" si="53"/>
        <v>0</v>
      </c>
      <c r="K457" s="1">
        <f t="shared" si="55"/>
        <v>80</v>
      </c>
      <c r="L457" s="1"/>
      <c r="M457" s="3"/>
      <c r="N457" s="3"/>
      <c r="O457" s="3"/>
      <c r="P457" s="3"/>
      <c r="Q457" s="3"/>
      <c r="R457" s="1"/>
    </row>
    <row r="458" spans="2:18" x14ac:dyDescent="0.2">
      <c r="B458">
        <v>446</v>
      </c>
      <c r="C458" s="1">
        <v>-0.12425786232947443</v>
      </c>
      <c r="D458" s="1">
        <f t="shared" si="48"/>
        <v>81.501014546317251</v>
      </c>
      <c r="E458" s="18">
        <f t="shared" si="56"/>
        <v>-1.5010145463172506</v>
      </c>
      <c r="F458" s="1">
        <f t="shared" si="54"/>
        <v>80</v>
      </c>
      <c r="G458" s="9">
        <f t="shared" si="50"/>
        <v>0</v>
      </c>
      <c r="H458" s="9">
        <f t="shared" si="51"/>
        <v>80</v>
      </c>
      <c r="I458" s="9">
        <f t="shared" si="52"/>
        <v>0</v>
      </c>
      <c r="J458" s="9">
        <f t="shared" si="53"/>
        <v>0</v>
      </c>
      <c r="K458" s="1">
        <f t="shared" si="55"/>
        <v>80</v>
      </c>
      <c r="L458" s="1"/>
      <c r="M458" s="3"/>
      <c r="N458" s="3"/>
      <c r="O458" s="3"/>
      <c r="P458" s="3"/>
      <c r="Q458" s="3"/>
      <c r="R458" s="1"/>
    </row>
    <row r="459" spans="2:18" x14ac:dyDescent="0.2">
      <c r="B459">
        <v>447</v>
      </c>
      <c r="C459" s="1">
        <v>-0.12369398871283854</v>
      </c>
      <c r="D459" s="1">
        <f t="shared" si="48"/>
        <v>81.528592974377617</v>
      </c>
      <c r="E459" s="18">
        <f t="shared" si="56"/>
        <v>-1.5285929743776165</v>
      </c>
      <c r="F459" s="1">
        <f t="shared" si="54"/>
        <v>80</v>
      </c>
      <c r="G459" s="9">
        <f t="shared" si="50"/>
        <v>0</v>
      </c>
      <c r="H459" s="9">
        <f t="shared" si="51"/>
        <v>80</v>
      </c>
      <c r="I459" s="9">
        <f t="shared" si="52"/>
        <v>0</v>
      </c>
      <c r="J459" s="9">
        <f t="shared" si="53"/>
        <v>0</v>
      </c>
      <c r="K459" s="1">
        <f t="shared" si="55"/>
        <v>80</v>
      </c>
      <c r="L459" s="1"/>
      <c r="M459" s="3"/>
      <c r="N459" s="3"/>
      <c r="O459" s="3"/>
      <c r="P459" s="3"/>
      <c r="Q459" s="3"/>
      <c r="R459" s="1"/>
    </row>
    <row r="460" spans="2:18" x14ac:dyDescent="0.2">
      <c r="B460">
        <v>448</v>
      </c>
      <c r="C460" s="1">
        <v>-0.12296334108998264</v>
      </c>
      <c r="D460" s="1">
        <f t="shared" si="48"/>
        <v>81.564342013381108</v>
      </c>
      <c r="E460" s="18">
        <f t="shared" si="56"/>
        <v>-1.5643420133811077</v>
      </c>
      <c r="F460" s="1">
        <f t="shared" si="54"/>
        <v>80</v>
      </c>
      <c r="G460" s="9">
        <f t="shared" si="50"/>
        <v>0</v>
      </c>
      <c r="H460" s="9">
        <f t="shared" si="51"/>
        <v>80</v>
      </c>
      <c r="I460" s="9">
        <f t="shared" si="52"/>
        <v>0</v>
      </c>
      <c r="J460" s="9">
        <f t="shared" si="53"/>
        <v>0</v>
      </c>
      <c r="K460" s="1">
        <f t="shared" si="55"/>
        <v>80</v>
      </c>
      <c r="L460" s="1"/>
      <c r="M460" s="3"/>
      <c r="N460" s="3"/>
      <c r="O460" s="3"/>
      <c r="P460" s="3"/>
      <c r="Q460" s="3"/>
      <c r="R460" s="1"/>
    </row>
    <row r="461" spans="2:18" x14ac:dyDescent="0.2">
      <c r="B461">
        <v>449</v>
      </c>
      <c r="C461" s="1">
        <v>-0.12289502904903556</v>
      </c>
      <c r="D461" s="1">
        <f t="shared" ref="D461:D524" si="57">a0*EXP((RR-0.5*sigma^2)*T+sigma*SQRT(T)*C461)</f>
        <v>81.567685177897019</v>
      </c>
      <c r="E461" s="18">
        <f t="shared" si="56"/>
        <v>-1.5676851778970189</v>
      </c>
      <c r="F461" s="1">
        <f t="shared" si="54"/>
        <v>80</v>
      </c>
      <c r="G461" s="9">
        <f t="shared" ref="G461:G524" si="58">IF(F461&lt;F,MIN(disc,F461),0)</f>
        <v>0</v>
      </c>
      <c r="H461" s="9">
        <f t="shared" ref="H461:H524" si="59">IF(F461&gt;=F,F,F461-G461)</f>
        <v>80</v>
      </c>
      <c r="I461" s="9">
        <f t="shared" ref="I461:I524" si="60">(1-tax)*(F461-G461-H461)</f>
        <v>0</v>
      </c>
      <c r="J461" s="9">
        <f t="shared" ref="J461:J524" si="61">tax*(F461-G461-H461)</f>
        <v>0</v>
      </c>
      <c r="K461" s="1">
        <f t="shared" si="55"/>
        <v>80</v>
      </c>
      <c r="L461" s="1"/>
      <c r="M461" s="3"/>
      <c r="N461" s="3"/>
      <c r="O461" s="3"/>
      <c r="P461" s="3"/>
      <c r="Q461" s="3"/>
      <c r="R461" s="1"/>
    </row>
    <row r="462" spans="2:18" x14ac:dyDescent="0.2">
      <c r="B462">
        <v>450</v>
      </c>
      <c r="C462" s="1">
        <v>-0.12218442416628883</v>
      </c>
      <c r="D462" s="1">
        <f t="shared" si="57"/>
        <v>81.602470030072865</v>
      </c>
      <c r="E462" s="18">
        <f t="shared" si="56"/>
        <v>-1.6024700300728654</v>
      </c>
      <c r="F462" s="1">
        <f t="shared" ref="F462:F525" si="62">D462+E462</f>
        <v>80</v>
      </c>
      <c r="G462" s="9">
        <f t="shared" si="58"/>
        <v>0</v>
      </c>
      <c r="H462" s="9">
        <f t="shared" si="59"/>
        <v>80</v>
      </c>
      <c r="I462" s="9">
        <f t="shared" si="60"/>
        <v>0</v>
      </c>
      <c r="J462" s="9">
        <f t="shared" si="61"/>
        <v>0</v>
      </c>
      <c r="K462" s="1">
        <f t="shared" ref="K462:K525" si="63">SUM(G462:J462)</f>
        <v>80</v>
      </c>
      <c r="L462" s="1"/>
      <c r="M462" s="3"/>
      <c r="N462" s="3"/>
      <c r="O462" s="3"/>
      <c r="P462" s="3"/>
      <c r="Q462" s="3"/>
      <c r="R462" s="1"/>
    </row>
    <row r="463" spans="2:18" x14ac:dyDescent="0.2">
      <c r="B463">
        <v>451</v>
      </c>
      <c r="C463" s="1">
        <v>-0.12029896227176815</v>
      </c>
      <c r="D463" s="1">
        <f t="shared" si="57"/>
        <v>81.694837275342664</v>
      </c>
      <c r="E463" s="18">
        <f t="shared" si="56"/>
        <v>-1.6948372753426639</v>
      </c>
      <c r="F463" s="1">
        <f t="shared" si="62"/>
        <v>80</v>
      </c>
      <c r="G463" s="9">
        <f t="shared" si="58"/>
        <v>0</v>
      </c>
      <c r="H463" s="9">
        <f t="shared" si="59"/>
        <v>80</v>
      </c>
      <c r="I463" s="9">
        <f t="shared" si="60"/>
        <v>0</v>
      </c>
      <c r="J463" s="9">
        <f t="shared" si="61"/>
        <v>0</v>
      </c>
      <c r="K463" s="1">
        <f t="shared" si="63"/>
        <v>80</v>
      </c>
      <c r="L463" s="1"/>
      <c r="M463" s="3"/>
      <c r="N463" s="3"/>
      <c r="O463" s="3"/>
      <c r="P463" s="3"/>
      <c r="Q463" s="3"/>
      <c r="R463" s="1"/>
    </row>
    <row r="464" spans="2:18" x14ac:dyDescent="0.2">
      <c r="B464">
        <v>452</v>
      </c>
      <c r="C464" s="1">
        <v>-0.11885552101459769</v>
      </c>
      <c r="D464" s="1">
        <f t="shared" si="57"/>
        <v>81.76562094171021</v>
      </c>
      <c r="E464" s="18">
        <f t="shared" si="56"/>
        <v>-1.7656209417102104</v>
      </c>
      <c r="F464" s="1">
        <f t="shared" si="62"/>
        <v>80</v>
      </c>
      <c r="G464" s="9">
        <f t="shared" si="58"/>
        <v>0</v>
      </c>
      <c r="H464" s="9">
        <f t="shared" si="59"/>
        <v>80</v>
      </c>
      <c r="I464" s="9">
        <f t="shared" si="60"/>
        <v>0</v>
      </c>
      <c r="J464" s="9">
        <f t="shared" si="61"/>
        <v>0</v>
      </c>
      <c r="K464" s="1">
        <f t="shared" si="63"/>
        <v>80</v>
      </c>
      <c r="L464" s="1"/>
      <c r="M464" s="3"/>
      <c r="N464" s="3"/>
      <c r="O464" s="3"/>
      <c r="P464" s="3"/>
      <c r="Q464" s="3"/>
      <c r="R464" s="1"/>
    </row>
    <row r="465" spans="2:18" x14ac:dyDescent="0.2">
      <c r="B465">
        <v>453</v>
      </c>
      <c r="C465" s="1">
        <v>-0.11001464549579189</v>
      </c>
      <c r="D465" s="1">
        <f t="shared" si="57"/>
        <v>82.200501144388866</v>
      </c>
      <c r="E465" s="18">
        <f t="shared" si="56"/>
        <v>-2.2005011443888662</v>
      </c>
      <c r="F465" s="1">
        <f t="shared" si="62"/>
        <v>80</v>
      </c>
      <c r="G465" s="9">
        <f t="shared" si="58"/>
        <v>0</v>
      </c>
      <c r="H465" s="9">
        <f t="shared" si="59"/>
        <v>80</v>
      </c>
      <c r="I465" s="9">
        <f t="shared" si="60"/>
        <v>0</v>
      </c>
      <c r="J465" s="9">
        <f t="shared" si="61"/>
        <v>0</v>
      </c>
      <c r="K465" s="1">
        <f t="shared" si="63"/>
        <v>80</v>
      </c>
      <c r="L465" s="1"/>
      <c r="M465" s="3"/>
      <c r="N465" s="3"/>
      <c r="O465" s="3"/>
      <c r="P465" s="3"/>
      <c r="Q465" s="3"/>
      <c r="R465" s="1"/>
    </row>
    <row r="466" spans="2:18" x14ac:dyDescent="0.2">
      <c r="B466">
        <v>454</v>
      </c>
      <c r="C466" s="1">
        <v>-0.10814359634436584</v>
      </c>
      <c r="D466" s="1">
        <f t="shared" si="57"/>
        <v>82.292833669047042</v>
      </c>
      <c r="E466" s="18">
        <f t="shared" si="56"/>
        <v>-2.2928336690470417</v>
      </c>
      <c r="F466" s="1">
        <f t="shared" si="62"/>
        <v>80</v>
      </c>
      <c r="G466" s="9">
        <f t="shared" si="58"/>
        <v>0</v>
      </c>
      <c r="H466" s="9">
        <f t="shared" si="59"/>
        <v>80</v>
      </c>
      <c r="I466" s="9">
        <f t="shared" si="60"/>
        <v>0</v>
      </c>
      <c r="J466" s="9">
        <f t="shared" si="61"/>
        <v>0</v>
      </c>
      <c r="K466" s="1">
        <f t="shared" si="63"/>
        <v>80</v>
      </c>
      <c r="L466" s="1"/>
      <c r="M466" s="3"/>
      <c r="N466" s="3"/>
      <c r="O466" s="3"/>
      <c r="P466" s="3"/>
      <c r="Q466" s="3"/>
      <c r="R466" s="1"/>
    </row>
    <row r="467" spans="2:18" x14ac:dyDescent="0.2">
      <c r="B467">
        <v>455</v>
      </c>
      <c r="C467" s="1">
        <v>-0.10758612787767584</v>
      </c>
      <c r="D467" s="1">
        <f t="shared" si="57"/>
        <v>82.320363668805442</v>
      </c>
      <c r="E467" s="18">
        <f t="shared" si="56"/>
        <v>-2.3203636688054416</v>
      </c>
      <c r="F467" s="1">
        <f t="shared" si="62"/>
        <v>80</v>
      </c>
      <c r="G467" s="9">
        <f t="shared" si="58"/>
        <v>0</v>
      </c>
      <c r="H467" s="9">
        <f t="shared" si="59"/>
        <v>80</v>
      </c>
      <c r="I467" s="9">
        <f t="shared" si="60"/>
        <v>0</v>
      </c>
      <c r="J467" s="9">
        <f t="shared" si="61"/>
        <v>0</v>
      </c>
      <c r="K467" s="1">
        <f t="shared" si="63"/>
        <v>80</v>
      </c>
      <c r="L467" s="1"/>
      <c r="M467" s="3"/>
      <c r="N467" s="3"/>
      <c r="O467" s="3"/>
      <c r="P467" s="3"/>
      <c r="Q467" s="3"/>
      <c r="R467" s="1"/>
    </row>
    <row r="468" spans="2:18" x14ac:dyDescent="0.2">
      <c r="B468">
        <v>456</v>
      </c>
      <c r="C468" s="1">
        <v>-0.10583736697738096</v>
      </c>
      <c r="D468" s="1">
        <f t="shared" si="57"/>
        <v>82.406784179489051</v>
      </c>
      <c r="E468" s="18">
        <f t="shared" si="56"/>
        <v>-2.4067841794890512</v>
      </c>
      <c r="F468" s="1">
        <f t="shared" si="62"/>
        <v>80</v>
      </c>
      <c r="G468" s="9">
        <f t="shared" si="58"/>
        <v>0</v>
      </c>
      <c r="H468" s="9">
        <f t="shared" si="59"/>
        <v>80</v>
      </c>
      <c r="I468" s="9">
        <f t="shared" si="60"/>
        <v>0</v>
      </c>
      <c r="J468" s="9">
        <f t="shared" si="61"/>
        <v>0</v>
      </c>
      <c r="K468" s="1">
        <f t="shared" si="63"/>
        <v>80</v>
      </c>
      <c r="L468" s="1"/>
      <c r="M468" s="3"/>
      <c r="N468" s="3"/>
      <c r="O468" s="3"/>
      <c r="P468" s="3"/>
      <c r="Q468" s="3"/>
      <c r="R468" s="1"/>
    </row>
    <row r="469" spans="2:18" x14ac:dyDescent="0.2">
      <c r="B469">
        <v>457</v>
      </c>
      <c r="C469" s="1">
        <v>-0.10568413184389325</v>
      </c>
      <c r="D469" s="1">
        <f t="shared" si="57"/>
        <v>82.414361096543104</v>
      </c>
      <c r="E469" s="18">
        <f t="shared" si="56"/>
        <v>-2.4143610965431037</v>
      </c>
      <c r="F469" s="1">
        <f t="shared" si="62"/>
        <v>80</v>
      </c>
      <c r="G469" s="9">
        <f t="shared" si="58"/>
        <v>0</v>
      </c>
      <c r="H469" s="9">
        <f t="shared" si="59"/>
        <v>80</v>
      </c>
      <c r="I469" s="9">
        <f t="shared" si="60"/>
        <v>0</v>
      </c>
      <c r="J469" s="9">
        <f t="shared" si="61"/>
        <v>0</v>
      </c>
      <c r="K469" s="1">
        <f t="shared" si="63"/>
        <v>80</v>
      </c>
      <c r="L469" s="1"/>
      <c r="M469" s="3"/>
      <c r="N469" s="3"/>
      <c r="O469" s="3"/>
      <c r="P469" s="3"/>
      <c r="Q469" s="3"/>
      <c r="R469" s="1"/>
    </row>
    <row r="470" spans="2:18" x14ac:dyDescent="0.2">
      <c r="B470">
        <v>458</v>
      </c>
      <c r="C470" s="1">
        <v>-0.10539077468365339</v>
      </c>
      <c r="D470" s="1">
        <f t="shared" si="57"/>
        <v>82.42886847901957</v>
      </c>
      <c r="E470" s="18">
        <f t="shared" si="56"/>
        <v>-2.4288684790195703</v>
      </c>
      <c r="F470" s="1">
        <f t="shared" si="62"/>
        <v>80</v>
      </c>
      <c r="G470" s="9">
        <f t="shared" si="58"/>
        <v>0</v>
      </c>
      <c r="H470" s="9">
        <f t="shared" si="59"/>
        <v>80</v>
      </c>
      <c r="I470" s="9">
        <f t="shared" si="60"/>
        <v>0</v>
      </c>
      <c r="J470" s="9">
        <f t="shared" si="61"/>
        <v>0</v>
      </c>
      <c r="K470" s="1">
        <f t="shared" si="63"/>
        <v>80</v>
      </c>
      <c r="L470" s="1"/>
      <c r="M470" s="3"/>
      <c r="N470" s="3"/>
      <c r="O470" s="3"/>
      <c r="P470" s="3"/>
      <c r="Q470" s="3"/>
      <c r="R470" s="1"/>
    </row>
    <row r="471" spans="2:18" x14ac:dyDescent="0.2">
      <c r="B471">
        <v>459</v>
      </c>
      <c r="C471" s="1">
        <v>-9.8461095994886783E-2</v>
      </c>
      <c r="D471" s="1">
        <f t="shared" si="57"/>
        <v>82.772305300249243</v>
      </c>
      <c r="E471" s="18">
        <f t="shared" si="56"/>
        <v>-2.7723053002492435</v>
      </c>
      <c r="F471" s="1">
        <f t="shared" si="62"/>
        <v>80</v>
      </c>
      <c r="G471" s="9">
        <f t="shared" si="58"/>
        <v>0</v>
      </c>
      <c r="H471" s="9">
        <f t="shared" si="59"/>
        <v>80</v>
      </c>
      <c r="I471" s="9">
        <f t="shared" si="60"/>
        <v>0</v>
      </c>
      <c r="J471" s="9">
        <f t="shared" si="61"/>
        <v>0</v>
      </c>
      <c r="K471" s="1">
        <f t="shared" si="63"/>
        <v>80</v>
      </c>
      <c r="L471" s="1"/>
      <c r="M471" s="3"/>
      <c r="N471" s="3"/>
      <c r="O471" s="3"/>
      <c r="P471" s="3"/>
      <c r="Q471" s="3"/>
      <c r="R471" s="1"/>
    </row>
    <row r="472" spans="2:18" x14ac:dyDescent="0.2">
      <c r="B472">
        <v>460</v>
      </c>
      <c r="C472" s="1">
        <v>-9.7988089623123456E-2</v>
      </c>
      <c r="D472" s="1">
        <f t="shared" si="57"/>
        <v>82.795799730683669</v>
      </c>
      <c r="E472" s="18">
        <f t="shared" si="56"/>
        <v>-2.7957997306836688</v>
      </c>
      <c r="F472" s="1">
        <f t="shared" si="62"/>
        <v>80</v>
      </c>
      <c r="G472" s="9">
        <f t="shared" si="58"/>
        <v>0</v>
      </c>
      <c r="H472" s="9">
        <f t="shared" si="59"/>
        <v>80</v>
      </c>
      <c r="I472" s="9">
        <f t="shared" si="60"/>
        <v>0</v>
      </c>
      <c r="J472" s="9">
        <f t="shared" si="61"/>
        <v>0</v>
      </c>
      <c r="K472" s="1">
        <f t="shared" si="63"/>
        <v>80</v>
      </c>
      <c r="L472" s="1"/>
      <c r="M472" s="3"/>
      <c r="N472" s="3"/>
      <c r="O472" s="3"/>
      <c r="P472" s="3"/>
      <c r="Q472" s="3"/>
      <c r="R472" s="1"/>
    </row>
    <row r="473" spans="2:18" x14ac:dyDescent="0.2">
      <c r="B473">
        <v>461</v>
      </c>
      <c r="C473" s="1">
        <v>-9.7351207931494751E-2</v>
      </c>
      <c r="D473" s="1">
        <f t="shared" si="57"/>
        <v>82.827444453877391</v>
      </c>
      <c r="E473" s="18">
        <f t="shared" si="56"/>
        <v>-2.8274444538773906</v>
      </c>
      <c r="F473" s="1">
        <f t="shared" si="62"/>
        <v>80</v>
      </c>
      <c r="G473" s="9">
        <f t="shared" si="58"/>
        <v>0</v>
      </c>
      <c r="H473" s="9">
        <f t="shared" si="59"/>
        <v>80</v>
      </c>
      <c r="I473" s="9">
        <f t="shared" si="60"/>
        <v>0</v>
      </c>
      <c r="J473" s="9">
        <f t="shared" si="61"/>
        <v>0</v>
      </c>
      <c r="K473" s="1">
        <f t="shared" si="63"/>
        <v>80</v>
      </c>
      <c r="L473" s="1"/>
      <c r="M473" s="3"/>
      <c r="N473" s="3"/>
      <c r="O473" s="3"/>
      <c r="P473" s="3"/>
      <c r="Q473" s="3"/>
      <c r="R473" s="1"/>
    </row>
    <row r="474" spans="2:18" x14ac:dyDescent="0.2">
      <c r="B474">
        <v>462</v>
      </c>
      <c r="C474" s="1">
        <v>-9.1633045629578982E-2</v>
      </c>
      <c r="D474" s="1">
        <f t="shared" si="57"/>
        <v>83.112104957400007</v>
      </c>
      <c r="E474" s="18">
        <f t="shared" si="56"/>
        <v>-3.1121049574000068</v>
      </c>
      <c r="F474" s="1">
        <f t="shared" si="62"/>
        <v>80</v>
      </c>
      <c r="G474" s="9">
        <f t="shared" si="58"/>
        <v>0</v>
      </c>
      <c r="H474" s="9">
        <f t="shared" si="59"/>
        <v>80</v>
      </c>
      <c r="I474" s="9">
        <f t="shared" si="60"/>
        <v>0</v>
      </c>
      <c r="J474" s="9">
        <f t="shared" si="61"/>
        <v>0</v>
      </c>
      <c r="K474" s="1">
        <f t="shared" si="63"/>
        <v>80</v>
      </c>
      <c r="L474" s="1"/>
      <c r="M474" s="3"/>
      <c r="N474" s="3"/>
      <c r="O474" s="3"/>
      <c r="P474" s="3"/>
      <c r="Q474" s="3"/>
      <c r="R474" s="1"/>
    </row>
    <row r="475" spans="2:18" x14ac:dyDescent="0.2">
      <c r="B475">
        <v>463</v>
      </c>
      <c r="C475" s="1">
        <v>-9.1583786352716218E-2</v>
      </c>
      <c r="D475" s="1">
        <f t="shared" si="57"/>
        <v>83.114561419014137</v>
      </c>
      <c r="E475" s="18">
        <f t="shared" si="56"/>
        <v>-3.1145614190141373</v>
      </c>
      <c r="F475" s="1">
        <f t="shared" si="62"/>
        <v>80</v>
      </c>
      <c r="G475" s="9">
        <f t="shared" si="58"/>
        <v>0</v>
      </c>
      <c r="H475" s="9">
        <f t="shared" si="59"/>
        <v>80</v>
      </c>
      <c r="I475" s="9">
        <f t="shared" si="60"/>
        <v>0</v>
      </c>
      <c r="J475" s="9">
        <f t="shared" si="61"/>
        <v>0</v>
      </c>
      <c r="K475" s="1">
        <f t="shared" si="63"/>
        <v>80</v>
      </c>
      <c r="L475" s="1"/>
      <c r="M475" s="3"/>
      <c r="N475" s="3"/>
      <c r="O475" s="3"/>
      <c r="P475" s="3"/>
      <c r="Q475" s="3"/>
      <c r="R475" s="1"/>
    </row>
    <row r="476" spans="2:18" x14ac:dyDescent="0.2">
      <c r="B476">
        <v>464</v>
      </c>
      <c r="C476" s="1">
        <v>-8.9394746755147386E-2</v>
      </c>
      <c r="D476" s="1">
        <f t="shared" si="57"/>
        <v>83.223797779774884</v>
      </c>
      <c r="E476" s="18">
        <f t="shared" si="56"/>
        <v>-3.223797779774884</v>
      </c>
      <c r="F476" s="1">
        <f t="shared" si="62"/>
        <v>80</v>
      </c>
      <c r="G476" s="9">
        <f t="shared" si="58"/>
        <v>0</v>
      </c>
      <c r="H476" s="9">
        <f t="shared" si="59"/>
        <v>80</v>
      </c>
      <c r="I476" s="9">
        <f t="shared" si="60"/>
        <v>0</v>
      </c>
      <c r="J476" s="9">
        <f t="shared" si="61"/>
        <v>0</v>
      </c>
      <c r="K476" s="1">
        <f t="shared" si="63"/>
        <v>80</v>
      </c>
      <c r="L476" s="1"/>
      <c r="M476" s="3"/>
      <c r="N476" s="3"/>
      <c r="O476" s="3"/>
      <c r="P476" s="3"/>
      <c r="Q476" s="3"/>
      <c r="R476" s="1"/>
    </row>
    <row r="477" spans="2:18" x14ac:dyDescent="0.2">
      <c r="B477">
        <v>465</v>
      </c>
      <c r="C477" s="1">
        <v>-7.7835356036108735E-2</v>
      </c>
      <c r="D477" s="1">
        <f t="shared" si="57"/>
        <v>83.803013911006133</v>
      </c>
      <c r="E477" s="18">
        <f t="shared" si="56"/>
        <v>-3.8030139110061327</v>
      </c>
      <c r="F477" s="1">
        <f t="shared" si="62"/>
        <v>80</v>
      </c>
      <c r="G477" s="9">
        <f t="shared" si="58"/>
        <v>0</v>
      </c>
      <c r="H477" s="9">
        <f t="shared" si="59"/>
        <v>80</v>
      </c>
      <c r="I477" s="9">
        <f t="shared" si="60"/>
        <v>0</v>
      </c>
      <c r="J477" s="9">
        <f t="shared" si="61"/>
        <v>0</v>
      </c>
      <c r="K477" s="1">
        <f t="shared" si="63"/>
        <v>80</v>
      </c>
      <c r="L477" s="1"/>
      <c r="M477" s="3"/>
      <c r="N477" s="3"/>
      <c r="O477" s="3"/>
      <c r="P477" s="3"/>
      <c r="Q477" s="3"/>
      <c r="R477" s="1"/>
    </row>
    <row r="478" spans="2:18" x14ac:dyDescent="0.2">
      <c r="B478">
        <v>466</v>
      </c>
      <c r="C478" s="1">
        <v>-7.5887230484272969E-2</v>
      </c>
      <c r="D478" s="1">
        <f t="shared" si="57"/>
        <v>83.901026457703338</v>
      </c>
      <c r="E478" s="18">
        <f t="shared" si="56"/>
        <v>-3.9010264577033382</v>
      </c>
      <c r="F478" s="1">
        <f t="shared" si="62"/>
        <v>80</v>
      </c>
      <c r="G478" s="9">
        <f t="shared" si="58"/>
        <v>0</v>
      </c>
      <c r="H478" s="9">
        <f t="shared" si="59"/>
        <v>80</v>
      </c>
      <c r="I478" s="9">
        <f t="shared" si="60"/>
        <v>0</v>
      </c>
      <c r="J478" s="9">
        <f t="shared" si="61"/>
        <v>0</v>
      </c>
      <c r="K478" s="1">
        <f t="shared" si="63"/>
        <v>80</v>
      </c>
      <c r="L478" s="1"/>
      <c r="M478" s="3"/>
      <c r="N478" s="3"/>
      <c r="O478" s="3"/>
      <c r="P478" s="3"/>
      <c r="Q478" s="3"/>
      <c r="R478" s="1"/>
    </row>
    <row r="479" spans="2:18" x14ac:dyDescent="0.2">
      <c r="B479">
        <v>467</v>
      </c>
      <c r="C479" s="1">
        <v>-7.5647973495333976E-2</v>
      </c>
      <c r="D479" s="1">
        <f t="shared" si="57"/>
        <v>83.913071666428266</v>
      </c>
      <c r="E479" s="18">
        <f t="shared" si="56"/>
        <v>-3.9130716664282659</v>
      </c>
      <c r="F479" s="1">
        <f t="shared" si="62"/>
        <v>80</v>
      </c>
      <c r="G479" s="9">
        <f t="shared" si="58"/>
        <v>0</v>
      </c>
      <c r="H479" s="9">
        <f t="shared" si="59"/>
        <v>80</v>
      </c>
      <c r="I479" s="9">
        <f t="shared" si="60"/>
        <v>0</v>
      </c>
      <c r="J479" s="9">
        <f t="shared" si="61"/>
        <v>0</v>
      </c>
      <c r="K479" s="1">
        <f t="shared" si="63"/>
        <v>80</v>
      </c>
      <c r="L479" s="1"/>
      <c r="M479" s="3"/>
      <c r="N479" s="3"/>
      <c r="O479" s="3"/>
      <c r="P479" s="3"/>
      <c r="Q479" s="3"/>
      <c r="R479" s="1"/>
    </row>
    <row r="480" spans="2:18" x14ac:dyDescent="0.2">
      <c r="B480">
        <v>468</v>
      </c>
      <c r="C480" s="1">
        <v>-7.4281612830350841E-2</v>
      </c>
      <c r="D480" s="1">
        <f t="shared" si="57"/>
        <v>83.981893185320345</v>
      </c>
      <c r="E480" s="18">
        <f t="shared" si="56"/>
        <v>-3.9818931853203452</v>
      </c>
      <c r="F480" s="1">
        <f t="shared" si="62"/>
        <v>80</v>
      </c>
      <c r="G480" s="9">
        <f t="shared" si="58"/>
        <v>0</v>
      </c>
      <c r="H480" s="9">
        <f t="shared" si="59"/>
        <v>80</v>
      </c>
      <c r="I480" s="9">
        <f t="shared" si="60"/>
        <v>0</v>
      </c>
      <c r="J480" s="9">
        <f t="shared" si="61"/>
        <v>0</v>
      </c>
      <c r="K480" s="1">
        <f t="shared" si="63"/>
        <v>80</v>
      </c>
      <c r="L480" s="1"/>
      <c r="M480" s="3"/>
      <c r="N480" s="3"/>
      <c r="O480" s="3"/>
      <c r="P480" s="3"/>
      <c r="Q480" s="3"/>
      <c r="R480" s="1"/>
    </row>
    <row r="481" spans="2:18" x14ac:dyDescent="0.2">
      <c r="B481">
        <v>469</v>
      </c>
      <c r="C481" s="1">
        <v>-7.374888478000978E-2</v>
      </c>
      <c r="D481" s="1">
        <f t="shared" si="57"/>
        <v>84.008741182028373</v>
      </c>
      <c r="E481" s="18">
        <f t="shared" si="56"/>
        <v>-4.0087411820283734</v>
      </c>
      <c r="F481" s="1">
        <f t="shared" si="62"/>
        <v>80</v>
      </c>
      <c r="G481" s="9">
        <f t="shared" si="58"/>
        <v>0</v>
      </c>
      <c r="H481" s="9">
        <f t="shared" si="59"/>
        <v>80</v>
      </c>
      <c r="I481" s="9">
        <f t="shared" si="60"/>
        <v>0</v>
      </c>
      <c r="J481" s="9">
        <f t="shared" si="61"/>
        <v>0</v>
      </c>
      <c r="K481" s="1">
        <f t="shared" si="63"/>
        <v>80</v>
      </c>
      <c r="L481" s="1"/>
      <c r="M481" s="3"/>
      <c r="N481" s="3"/>
      <c r="O481" s="3"/>
      <c r="P481" s="3"/>
      <c r="Q481" s="3"/>
      <c r="R481" s="1"/>
    </row>
    <row r="482" spans="2:18" x14ac:dyDescent="0.2">
      <c r="B482">
        <v>470</v>
      </c>
      <c r="C482" s="1">
        <v>-7.1499368013534861E-2</v>
      </c>
      <c r="D482" s="1">
        <f t="shared" si="57"/>
        <v>84.122205179644595</v>
      </c>
      <c r="E482" s="18">
        <f t="shared" si="56"/>
        <v>-4.1222051796445953</v>
      </c>
      <c r="F482" s="1">
        <f t="shared" si="62"/>
        <v>80</v>
      </c>
      <c r="G482" s="9">
        <f t="shared" si="58"/>
        <v>0</v>
      </c>
      <c r="H482" s="9">
        <f t="shared" si="59"/>
        <v>80</v>
      </c>
      <c r="I482" s="9">
        <f t="shared" si="60"/>
        <v>0</v>
      </c>
      <c r="J482" s="9">
        <f t="shared" si="61"/>
        <v>0</v>
      </c>
      <c r="K482" s="1">
        <f t="shared" si="63"/>
        <v>80</v>
      </c>
      <c r="L482" s="1"/>
      <c r="M482" s="3"/>
      <c r="N482" s="3"/>
      <c r="O482" s="3"/>
      <c r="P482" s="3"/>
      <c r="Q482" s="3"/>
      <c r="R482" s="1"/>
    </row>
    <row r="483" spans="2:18" x14ac:dyDescent="0.2">
      <c r="B483">
        <v>471</v>
      </c>
      <c r="C483" s="1">
        <v>-7.0885293734051752E-2</v>
      </c>
      <c r="D483" s="1">
        <f t="shared" si="57"/>
        <v>84.153205259719982</v>
      </c>
      <c r="E483" s="18">
        <f t="shared" si="56"/>
        <v>-4.1532052597199822</v>
      </c>
      <c r="F483" s="1">
        <f t="shared" si="62"/>
        <v>80</v>
      </c>
      <c r="G483" s="9">
        <f t="shared" si="58"/>
        <v>0</v>
      </c>
      <c r="H483" s="9">
        <f t="shared" si="59"/>
        <v>80</v>
      </c>
      <c r="I483" s="9">
        <f t="shared" si="60"/>
        <v>0</v>
      </c>
      <c r="J483" s="9">
        <f t="shared" si="61"/>
        <v>0</v>
      </c>
      <c r="K483" s="1">
        <f t="shared" si="63"/>
        <v>80</v>
      </c>
      <c r="L483" s="1"/>
      <c r="M483" s="3"/>
      <c r="N483" s="3"/>
      <c r="O483" s="3"/>
      <c r="P483" s="3"/>
      <c r="Q483" s="3"/>
      <c r="R483" s="1"/>
    </row>
    <row r="484" spans="2:18" x14ac:dyDescent="0.2">
      <c r="B484">
        <v>472</v>
      </c>
      <c r="C484" s="1">
        <v>-7.0630872047490675E-2</v>
      </c>
      <c r="D484" s="1">
        <f t="shared" si="57"/>
        <v>84.166052480525536</v>
      </c>
      <c r="E484" s="18">
        <f t="shared" si="56"/>
        <v>-4.1660524805255363</v>
      </c>
      <c r="F484" s="1">
        <f t="shared" si="62"/>
        <v>80</v>
      </c>
      <c r="G484" s="9">
        <f t="shared" si="58"/>
        <v>0</v>
      </c>
      <c r="H484" s="9">
        <f t="shared" si="59"/>
        <v>80</v>
      </c>
      <c r="I484" s="9">
        <f t="shared" si="60"/>
        <v>0</v>
      </c>
      <c r="J484" s="9">
        <f t="shared" si="61"/>
        <v>0</v>
      </c>
      <c r="K484" s="1">
        <f t="shared" si="63"/>
        <v>80</v>
      </c>
      <c r="L484" s="1"/>
      <c r="M484" s="3"/>
      <c r="N484" s="3"/>
      <c r="O484" s="3"/>
      <c r="P484" s="3"/>
      <c r="Q484" s="3"/>
      <c r="R484" s="1"/>
    </row>
    <row r="485" spans="2:18" x14ac:dyDescent="0.2">
      <c r="B485">
        <v>473</v>
      </c>
      <c r="C485" s="1">
        <v>-6.4753348210517911E-2</v>
      </c>
      <c r="D485" s="1">
        <f t="shared" si="57"/>
        <v>84.463389241378863</v>
      </c>
      <c r="E485" s="18">
        <f t="shared" si="56"/>
        <v>-4.4633892413788629</v>
      </c>
      <c r="F485" s="1">
        <f t="shared" si="62"/>
        <v>80</v>
      </c>
      <c r="G485" s="9">
        <f t="shared" si="58"/>
        <v>0</v>
      </c>
      <c r="H485" s="9">
        <f t="shared" si="59"/>
        <v>80</v>
      </c>
      <c r="I485" s="9">
        <f t="shared" si="60"/>
        <v>0</v>
      </c>
      <c r="J485" s="9">
        <f t="shared" si="61"/>
        <v>0</v>
      </c>
      <c r="K485" s="1">
        <f t="shared" si="63"/>
        <v>80</v>
      </c>
      <c r="L485" s="1"/>
      <c r="M485" s="3"/>
      <c r="N485" s="3"/>
      <c r="O485" s="3"/>
      <c r="P485" s="3"/>
      <c r="Q485" s="3"/>
      <c r="R485" s="1"/>
    </row>
    <row r="486" spans="2:18" x14ac:dyDescent="0.2">
      <c r="B486">
        <v>474</v>
      </c>
      <c r="C486" s="1">
        <v>-6.1976691330124511E-2</v>
      </c>
      <c r="D486" s="1">
        <f t="shared" si="57"/>
        <v>84.604222032633686</v>
      </c>
      <c r="E486" s="18">
        <f t="shared" si="56"/>
        <v>-4.604222032633686</v>
      </c>
      <c r="F486" s="1">
        <f t="shared" si="62"/>
        <v>80</v>
      </c>
      <c r="G486" s="9">
        <f t="shared" si="58"/>
        <v>0</v>
      </c>
      <c r="H486" s="9">
        <f t="shared" si="59"/>
        <v>80</v>
      </c>
      <c r="I486" s="9">
        <f t="shared" si="60"/>
        <v>0</v>
      </c>
      <c r="J486" s="9">
        <f t="shared" si="61"/>
        <v>0</v>
      </c>
      <c r="K486" s="1">
        <f t="shared" si="63"/>
        <v>80</v>
      </c>
      <c r="L486" s="1"/>
      <c r="M486" s="3"/>
      <c r="N486" s="3"/>
      <c r="O486" s="3"/>
      <c r="P486" s="3"/>
      <c r="Q486" s="3"/>
      <c r="R486" s="1"/>
    </row>
    <row r="487" spans="2:18" x14ac:dyDescent="0.2">
      <c r="B487">
        <v>475</v>
      </c>
      <c r="C487" s="1">
        <v>-5.9257056183213586E-2</v>
      </c>
      <c r="D487" s="1">
        <f t="shared" si="57"/>
        <v>84.742390301649579</v>
      </c>
      <c r="E487" s="18">
        <f t="shared" si="56"/>
        <v>-4.7423903016495785</v>
      </c>
      <c r="F487" s="1">
        <f t="shared" si="62"/>
        <v>80</v>
      </c>
      <c r="G487" s="9">
        <f t="shared" si="58"/>
        <v>0</v>
      </c>
      <c r="H487" s="9">
        <f t="shared" si="59"/>
        <v>80</v>
      </c>
      <c r="I487" s="9">
        <f t="shared" si="60"/>
        <v>0</v>
      </c>
      <c r="J487" s="9">
        <f t="shared" si="61"/>
        <v>0</v>
      </c>
      <c r="K487" s="1">
        <f t="shared" si="63"/>
        <v>80</v>
      </c>
      <c r="L487" s="1"/>
      <c r="M487" s="3"/>
      <c r="N487" s="3"/>
      <c r="O487" s="3"/>
      <c r="P487" s="3"/>
      <c r="Q487" s="3"/>
      <c r="R487" s="1"/>
    </row>
    <row r="488" spans="2:18" x14ac:dyDescent="0.2">
      <c r="B488">
        <v>476</v>
      </c>
      <c r="C488" s="1">
        <v>-5.6840258154225352E-2</v>
      </c>
      <c r="D488" s="1">
        <f t="shared" si="57"/>
        <v>84.865362584964714</v>
      </c>
      <c r="E488" s="18">
        <f t="shared" si="56"/>
        <v>-4.8653625849647142</v>
      </c>
      <c r="F488" s="1">
        <f t="shared" si="62"/>
        <v>80</v>
      </c>
      <c r="G488" s="9">
        <f t="shared" si="58"/>
        <v>0</v>
      </c>
      <c r="H488" s="9">
        <f t="shared" si="59"/>
        <v>80</v>
      </c>
      <c r="I488" s="9">
        <f t="shared" si="60"/>
        <v>0</v>
      </c>
      <c r="J488" s="9">
        <f t="shared" si="61"/>
        <v>0</v>
      </c>
      <c r="K488" s="1">
        <f t="shared" si="63"/>
        <v>80</v>
      </c>
      <c r="L488" s="1"/>
      <c r="M488" s="3"/>
      <c r="N488" s="3"/>
      <c r="O488" s="3"/>
      <c r="P488" s="3"/>
      <c r="Q488" s="3"/>
      <c r="R488" s="1"/>
    </row>
    <row r="489" spans="2:18" x14ac:dyDescent="0.2">
      <c r="B489">
        <v>477</v>
      </c>
      <c r="C489" s="1">
        <v>-5.5800428298648043E-2</v>
      </c>
      <c r="D489" s="1">
        <f t="shared" si="57"/>
        <v>84.918326427894385</v>
      </c>
      <c r="E489" s="18">
        <f t="shared" si="56"/>
        <v>-4.9183264278943852</v>
      </c>
      <c r="F489" s="1">
        <f t="shared" si="62"/>
        <v>80</v>
      </c>
      <c r="G489" s="9">
        <f t="shared" si="58"/>
        <v>0</v>
      </c>
      <c r="H489" s="9">
        <f t="shared" si="59"/>
        <v>80</v>
      </c>
      <c r="I489" s="9">
        <f t="shared" si="60"/>
        <v>0</v>
      </c>
      <c r="J489" s="9">
        <f t="shared" si="61"/>
        <v>0</v>
      </c>
      <c r="K489" s="1">
        <f t="shared" si="63"/>
        <v>80</v>
      </c>
      <c r="L489" s="1"/>
      <c r="M489" s="3"/>
      <c r="N489" s="3"/>
      <c r="O489" s="3"/>
      <c r="P489" s="3"/>
      <c r="Q489" s="3"/>
      <c r="R489" s="1"/>
    </row>
    <row r="490" spans="2:18" x14ac:dyDescent="0.2">
      <c r="B490">
        <v>478</v>
      </c>
      <c r="C490" s="1">
        <v>-5.0878564038271824E-2</v>
      </c>
      <c r="D490" s="1">
        <f t="shared" si="57"/>
        <v>85.169470960704956</v>
      </c>
      <c r="E490" s="18">
        <f t="shared" si="56"/>
        <v>-5.169470960704956</v>
      </c>
      <c r="F490" s="1">
        <f t="shared" si="62"/>
        <v>80</v>
      </c>
      <c r="G490" s="9">
        <f t="shared" si="58"/>
        <v>0</v>
      </c>
      <c r="H490" s="9">
        <f t="shared" si="59"/>
        <v>80</v>
      </c>
      <c r="I490" s="9">
        <f t="shared" si="60"/>
        <v>0</v>
      </c>
      <c r="J490" s="9">
        <f t="shared" si="61"/>
        <v>0</v>
      </c>
      <c r="K490" s="1">
        <f t="shared" si="63"/>
        <v>80</v>
      </c>
      <c r="L490" s="1"/>
      <c r="M490" s="3"/>
      <c r="N490" s="3"/>
      <c r="O490" s="3"/>
      <c r="P490" s="3"/>
      <c r="Q490" s="3"/>
      <c r="R490" s="1"/>
    </row>
    <row r="491" spans="2:18" x14ac:dyDescent="0.2">
      <c r="B491">
        <v>479</v>
      </c>
      <c r="C491" s="1">
        <v>-5.0311388226984326E-2</v>
      </c>
      <c r="D491" s="1">
        <f t="shared" si="57"/>
        <v>85.198459531183417</v>
      </c>
      <c r="E491" s="18">
        <f t="shared" si="56"/>
        <v>-5.198459531183417</v>
      </c>
      <c r="F491" s="1">
        <f t="shared" si="62"/>
        <v>80</v>
      </c>
      <c r="G491" s="9">
        <f t="shared" si="58"/>
        <v>0</v>
      </c>
      <c r="H491" s="9">
        <f t="shared" si="59"/>
        <v>80</v>
      </c>
      <c r="I491" s="9">
        <f t="shared" si="60"/>
        <v>0</v>
      </c>
      <c r="J491" s="9">
        <f t="shared" si="61"/>
        <v>0</v>
      </c>
      <c r="K491" s="1">
        <f t="shared" si="63"/>
        <v>80</v>
      </c>
      <c r="L491" s="1"/>
      <c r="M491" s="3"/>
      <c r="N491" s="3"/>
      <c r="O491" s="3"/>
      <c r="P491" s="3"/>
      <c r="Q491" s="3"/>
      <c r="R491" s="1"/>
    </row>
    <row r="492" spans="2:18" x14ac:dyDescent="0.2">
      <c r="B492">
        <v>480</v>
      </c>
      <c r="C492" s="1">
        <v>-4.9225098796013507E-2</v>
      </c>
      <c r="D492" s="1">
        <f t="shared" si="57"/>
        <v>85.254007743321935</v>
      </c>
      <c r="E492" s="18">
        <f t="shared" si="56"/>
        <v>-5.2540077433219352</v>
      </c>
      <c r="F492" s="1">
        <f t="shared" si="62"/>
        <v>80</v>
      </c>
      <c r="G492" s="9">
        <f t="shared" si="58"/>
        <v>0</v>
      </c>
      <c r="H492" s="9">
        <f t="shared" si="59"/>
        <v>80</v>
      </c>
      <c r="I492" s="9">
        <f t="shared" si="60"/>
        <v>0</v>
      </c>
      <c r="J492" s="9">
        <f t="shared" si="61"/>
        <v>0</v>
      </c>
      <c r="K492" s="1">
        <f t="shared" si="63"/>
        <v>80</v>
      </c>
      <c r="L492" s="1"/>
      <c r="M492" s="3"/>
      <c r="N492" s="3"/>
      <c r="O492" s="3"/>
      <c r="P492" s="3"/>
      <c r="Q492" s="3"/>
      <c r="R492" s="1"/>
    </row>
    <row r="493" spans="2:18" x14ac:dyDescent="0.2">
      <c r="B493">
        <v>481</v>
      </c>
      <c r="C493" s="1">
        <v>-4.821678850598822E-2</v>
      </c>
      <c r="D493" s="1">
        <f t="shared" si="57"/>
        <v>85.305600844268767</v>
      </c>
      <c r="E493" s="18">
        <f t="shared" si="56"/>
        <v>-5.305600844268767</v>
      </c>
      <c r="F493" s="1">
        <f t="shared" si="62"/>
        <v>80</v>
      </c>
      <c r="G493" s="9">
        <f t="shared" si="58"/>
        <v>0</v>
      </c>
      <c r="H493" s="9">
        <f t="shared" si="59"/>
        <v>80</v>
      </c>
      <c r="I493" s="9">
        <f t="shared" si="60"/>
        <v>0</v>
      </c>
      <c r="J493" s="9">
        <f t="shared" si="61"/>
        <v>0</v>
      </c>
      <c r="K493" s="1">
        <f t="shared" si="63"/>
        <v>80</v>
      </c>
      <c r="L493" s="1"/>
      <c r="M493" s="3"/>
      <c r="N493" s="3"/>
      <c r="O493" s="3"/>
      <c r="P493" s="3"/>
      <c r="Q493" s="3"/>
      <c r="R493" s="1"/>
    </row>
    <row r="494" spans="2:18" x14ac:dyDescent="0.2">
      <c r="B494">
        <v>482</v>
      </c>
      <c r="C494" s="1">
        <v>-4.6364936176126713E-2</v>
      </c>
      <c r="D494" s="1">
        <f t="shared" si="57"/>
        <v>85.40043754698678</v>
      </c>
      <c r="E494" s="18">
        <f t="shared" si="56"/>
        <v>-5.4004375469867796</v>
      </c>
      <c r="F494" s="1">
        <f t="shared" si="62"/>
        <v>80</v>
      </c>
      <c r="G494" s="9">
        <f t="shared" si="58"/>
        <v>0</v>
      </c>
      <c r="H494" s="9">
        <f t="shared" si="59"/>
        <v>80</v>
      </c>
      <c r="I494" s="9">
        <f t="shared" si="60"/>
        <v>0</v>
      </c>
      <c r="J494" s="9">
        <f t="shared" si="61"/>
        <v>0</v>
      </c>
      <c r="K494" s="1">
        <f t="shared" si="63"/>
        <v>80</v>
      </c>
      <c r="L494" s="1"/>
      <c r="M494" s="3"/>
      <c r="N494" s="3"/>
      <c r="O494" s="3"/>
      <c r="P494" s="3"/>
      <c r="Q494" s="3"/>
      <c r="R494" s="1"/>
    </row>
    <row r="495" spans="2:18" x14ac:dyDescent="0.2">
      <c r="B495">
        <v>483</v>
      </c>
      <c r="C495" s="1">
        <v>-4.1483901124830073E-2</v>
      </c>
      <c r="D495" s="1">
        <f t="shared" si="57"/>
        <v>85.650909654343963</v>
      </c>
      <c r="E495" s="18">
        <f t="shared" si="56"/>
        <v>-5.6509096543439625</v>
      </c>
      <c r="F495" s="1">
        <f t="shared" si="62"/>
        <v>80</v>
      </c>
      <c r="G495" s="9">
        <f t="shared" si="58"/>
        <v>0</v>
      </c>
      <c r="H495" s="9">
        <f t="shared" si="59"/>
        <v>80</v>
      </c>
      <c r="I495" s="9">
        <f t="shared" si="60"/>
        <v>0</v>
      </c>
      <c r="J495" s="9">
        <f t="shared" si="61"/>
        <v>0</v>
      </c>
      <c r="K495" s="1">
        <f t="shared" si="63"/>
        <v>80</v>
      </c>
      <c r="L495" s="1"/>
      <c r="M495" s="3"/>
      <c r="N495" s="3"/>
      <c r="O495" s="3"/>
      <c r="P495" s="3"/>
      <c r="Q495" s="3"/>
      <c r="R495" s="1"/>
    </row>
    <row r="496" spans="2:18" x14ac:dyDescent="0.2">
      <c r="B496">
        <v>484</v>
      </c>
      <c r="C496" s="1">
        <v>-4.0384504875073488E-2</v>
      </c>
      <c r="D496" s="1">
        <f t="shared" si="57"/>
        <v>85.707426866055158</v>
      </c>
      <c r="E496" s="18">
        <f t="shared" si="56"/>
        <v>-5.7074268660551581</v>
      </c>
      <c r="F496" s="1">
        <f t="shared" si="62"/>
        <v>80</v>
      </c>
      <c r="G496" s="9">
        <f t="shared" si="58"/>
        <v>0</v>
      </c>
      <c r="H496" s="9">
        <f t="shared" si="59"/>
        <v>80</v>
      </c>
      <c r="I496" s="9">
        <f t="shared" si="60"/>
        <v>0</v>
      </c>
      <c r="J496" s="9">
        <f t="shared" si="61"/>
        <v>0</v>
      </c>
      <c r="K496" s="1">
        <f t="shared" si="63"/>
        <v>80</v>
      </c>
      <c r="L496" s="1"/>
      <c r="M496" s="3"/>
      <c r="N496" s="3"/>
      <c r="O496" s="3"/>
      <c r="P496" s="3"/>
      <c r="Q496" s="3"/>
      <c r="R496" s="1"/>
    </row>
    <row r="497" spans="2:18" x14ac:dyDescent="0.2">
      <c r="B497">
        <v>485</v>
      </c>
      <c r="C497" s="1">
        <v>-3.3050604055394721E-2</v>
      </c>
      <c r="D497" s="1">
        <f t="shared" si="57"/>
        <v>86.085399721682805</v>
      </c>
      <c r="E497" s="18">
        <f t="shared" si="56"/>
        <v>-6.0853997216828049</v>
      </c>
      <c r="F497" s="1">
        <f t="shared" si="62"/>
        <v>80</v>
      </c>
      <c r="G497" s="9">
        <f t="shared" si="58"/>
        <v>0</v>
      </c>
      <c r="H497" s="9">
        <f t="shared" si="59"/>
        <v>80</v>
      </c>
      <c r="I497" s="9">
        <f t="shared" si="60"/>
        <v>0</v>
      </c>
      <c r="J497" s="9">
        <f t="shared" si="61"/>
        <v>0</v>
      </c>
      <c r="K497" s="1">
        <f t="shared" si="63"/>
        <v>80</v>
      </c>
      <c r="L497" s="1"/>
      <c r="M497" s="3"/>
      <c r="N497" s="3"/>
      <c r="O497" s="3"/>
      <c r="P497" s="3"/>
      <c r="Q497" s="3"/>
      <c r="R497" s="1"/>
    </row>
    <row r="498" spans="2:18" x14ac:dyDescent="0.2">
      <c r="B498">
        <v>486</v>
      </c>
      <c r="C498" s="1">
        <v>-2.8561183876187394E-2</v>
      </c>
      <c r="D498" s="1">
        <f t="shared" si="57"/>
        <v>86.317596428247199</v>
      </c>
      <c r="E498" s="18">
        <f t="shared" si="56"/>
        <v>-6.3175964282471995</v>
      </c>
      <c r="F498" s="1">
        <f t="shared" si="62"/>
        <v>80</v>
      </c>
      <c r="G498" s="9">
        <f t="shared" si="58"/>
        <v>0</v>
      </c>
      <c r="H498" s="9">
        <f t="shared" si="59"/>
        <v>80</v>
      </c>
      <c r="I498" s="9">
        <f t="shared" si="60"/>
        <v>0</v>
      </c>
      <c r="J498" s="9">
        <f t="shared" si="61"/>
        <v>0</v>
      </c>
      <c r="K498" s="1">
        <f t="shared" si="63"/>
        <v>80</v>
      </c>
      <c r="L498" s="1"/>
      <c r="M498" s="3"/>
      <c r="N498" s="3"/>
      <c r="O498" s="3"/>
      <c r="P498" s="3"/>
      <c r="Q498" s="3"/>
      <c r="R498" s="1"/>
    </row>
    <row r="499" spans="2:18" x14ac:dyDescent="0.2">
      <c r="B499">
        <v>487</v>
      </c>
      <c r="C499" s="1">
        <v>-2.7231819911459152E-2</v>
      </c>
      <c r="D499" s="1">
        <f t="shared" si="57"/>
        <v>86.386472394292042</v>
      </c>
      <c r="E499" s="18">
        <f t="shared" si="56"/>
        <v>-6.3864723942920421</v>
      </c>
      <c r="F499" s="1">
        <f t="shared" si="62"/>
        <v>80</v>
      </c>
      <c r="G499" s="9">
        <f t="shared" si="58"/>
        <v>0</v>
      </c>
      <c r="H499" s="9">
        <f t="shared" si="59"/>
        <v>80</v>
      </c>
      <c r="I499" s="9">
        <f t="shared" si="60"/>
        <v>0</v>
      </c>
      <c r="J499" s="9">
        <f t="shared" si="61"/>
        <v>0</v>
      </c>
      <c r="K499" s="1">
        <f t="shared" si="63"/>
        <v>80</v>
      </c>
      <c r="L499" s="1"/>
      <c r="M499" s="3"/>
      <c r="N499" s="3"/>
      <c r="O499" s="3"/>
      <c r="P499" s="3"/>
      <c r="Q499" s="3"/>
      <c r="R499" s="1"/>
    </row>
    <row r="500" spans="2:18" x14ac:dyDescent="0.2">
      <c r="B500">
        <v>488</v>
      </c>
      <c r="C500" s="1">
        <v>-2.0621464538107315E-2</v>
      </c>
      <c r="D500" s="1">
        <f t="shared" si="57"/>
        <v>86.729779928876667</v>
      </c>
      <c r="E500" s="18">
        <f t="shared" si="56"/>
        <v>-6.7297799288766669</v>
      </c>
      <c r="F500" s="1">
        <f t="shared" si="62"/>
        <v>80</v>
      </c>
      <c r="G500" s="9">
        <f t="shared" si="58"/>
        <v>0</v>
      </c>
      <c r="H500" s="9">
        <f t="shared" si="59"/>
        <v>80</v>
      </c>
      <c r="I500" s="9">
        <f t="shared" si="60"/>
        <v>0</v>
      </c>
      <c r="J500" s="9">
        <f t="shared" si="61"/>
        <v>0</v>
      </c>
      <c r="K500" s="1">
        <f t="shared" si="63"/>
        <v>80</v>
      </c>
      <c r="L500" s="1"/>
      <c r="M500" s="3"/>
      <c r="N500" s="3"/>
      <c r="O500" s="3"/>
      <c r="P500" s="3"/>
      <c r="Q500" s="3"/>
      <c r="R500" s="1"/>
    </row>
    <row r="501" spans="2:18" x14ac:dyDescent="0.2">
      <c r="B501">
        <v>489</v>
      </c>
      <c r="C501" s="1">
        <v>-2.0093017606556136E-2</v>
      </c>
      <c r="D501" s="1">
        <f t="shared" si="57"/>
        <v>86.757283540552521</v>
      </c>
      <c r="E501" s="18">
        <f t="shared" si="56"/>
        <v>-6.7572835405525211</v>
      </c>
      <c r="F501" s="1">
        <f t="shared" si="62"/>
        <v>80</v>
      </c>
      <c r="G501" s="9">
        <f t="shared" si="58"/>
        <v>0</v>
      </c>
      <c r="H501" s="9">
        <f t="shared" si="59"/>
        <v>80</v>
      </c>
      <c r="I501" s="9">
        <f t="shared" si="60"/>
        <v>0</v>
      </c>
      <c r="J501" s="9">
        <f t="shared" si="61"/>
        <v>0</v>
      </c>
      <c r="K501" s="1">
        <f t="shared" si="63"/>
        <v>80</v>
      </c>
      <c r="L501" s="1"/>
      <c r="M501" s="3"/>
      <c r="N501" s="3"/>
      <c r="O501" s="3"/>
      <c r="P501" s="3"/>
      <c r="Q501" s="3"/>
      <c r="R501" s="1"/>
    </row>
    <row r="502" spans="2:18" x14ac:dyDescent="0.2">
      <c r="B502">
        <v>490</v>
      </c>
      <c r="C502" s="1">
        <v>-1.8713130502324506E-2</v>
      </c>
      <c r="D502" s="1">
        <f t="shared" si="57"/>
        <v>86.829142437650844</v>
      </c>
      <c r="E502" s="18">
        <f t="shared" si="56"/>
        <v>-6.8291424376508445</v>
      </c>
      <c r="F502" s="1">
        <f t="shared" si="62"/>
        <v>80</v>
      </c>
      <c r="G502" s="9">
        <f t="shared" si="58"/>
        <v>0</v>
      </c>
      <c r="H502" s="9">
        <f t="shared" si="59"/>
        <v>80</v>
      </c>
      <c r="I502" s="9">
        <f t="shared" si="60"/>
        <v>0</v>
      </c>
      <c r="J502" s="9">
        <f t="shared" si="61"/>
        <v>0</v>
      </c>
      <c r="K502" s="1">
        <f t="shared" si="63"/>
        <v>80</v>
      </c>
      <c r="L502" s="1"/>
      <c r="M502" s="3"/>
      <c r="N502" s="3"/>
      <c r="O502" s="3"/>
      <c r="P502" s="3"/>
      <c r="Q502" s="3"/>
      <c r="R502" s="1"/>
    </row>
    <row r="503" spans="2:18" x14ac:dyDescent="0.2">
      <c r="B503">
        <v>491</v>
      </c>
      <c r="C503" s="1">
        <v>-1.1784708962413655E-2</v>
      </c>
      <c r="D503" s="1">
        <f t="shared" si="57"/>
        <v>87.190847069867189</v>
      </c>
      <c r="E503" s="18">
        <f t="shared" si="56"/>
        <v>-7.1908470698671891</v>
      </c>
      <c r="F503" s="1">
        <f t="shared" si="62"/>
        <v>80</v>
      </c>
      <c r="G503" s="9">
        <f t="shared" si="58"/>
        <v>0</v>
      </c>
      <c r="H503" s="9">
        <f t="shared" si="59"/>
        <v>80</v>
      </c>
      <c r="I503" s="9">
        <f t="shared" si="60"/>
        <v>0</v>
      </c>
      <c r="J503" s="9">
        <f t="shared" si="61"/>
        <v>0</v>
      </c>
      <c r="K503" s="1">
        <f t="shared" si="63"/>
        <v>80</v>
      </c>
      <c r="L503" s="1"/>
      <c r="M503" s="3"/>
      <c r="N503" s="3"/>
      <c r="O503" s="3"/>
      <c r="P503" s="3"/>
      <c r="Q503" s="3"/>
      <c r="R503" s="1"/>
    </row>
    <row r="504" spans="2:18" x14ac:dyDescent="0.2">
      <c r="B504">
        <v>492</v>
      </c>
      <c r="C504" s="1">
        <v>-1.102857231590324E-2</v>
      </c>
      <c r="D504" s="1">
        <f t="shared" si="57"/>
        <v>87.230412961180534</v>
      </c>
      <c r="E504" s="18">
        <f t="shared" ref="E504:E567" si="64">-MIN(D504-F,(-IF(AND(D504&gt;=F-dis, D504&lt;F), F-D504, IF(D504&gt;=F, $E$7, 0))))</f>
        <v>-7.2304129611805337</v>
      </c>
      <c r="F504" s="1">
        <f t="shared" si="62"/>
        <v>80</v>
      </c>
      <c r="G504" s="9">
        <f t="shared" si="58"/>
        <v>0</v>
      </c>
      <c r="H504" s="9">
        <f t="shared" si="59"/>
        <v>80</v>
      </c>
      <c r="I504" s="9">
        <f t="shared" si="60"/>
        <v>0</v>
      </c>
      <c r="J504" s="9">
        <f t="shared" si="61"/>
        <v>0</v>
      </c>
      <c r="K504" s="1">
        <f t="shared" si="63"/>
        <v>80</v>
      </c>
      <c r="L504" s="1"/>
      <c r="M504" s="3"/>
      <c r="N504" s="3"/>
      <c r="O504" s="3"/>
      <c r="P504" s="3"/>
      <c r="Q504" s="3"/>
      <c r="R504" s="1"/>
    </row>
    <row r="505" spans="2:18" x14ac:dyDescent="0.2">
      <c r="B505">
        <v>493</v>
      </c>
      <c r="C505" s="1">
        <v>-9.6186740849326866E-3</v>
      </c>
      <c r="D505" s="1">
        <f t="shared" si="57"/>
        <v>87.304235784531045</v>
      </c>
      <c r="E505" s="18">
        <f t="shared" si="64"/>
        <v>-7.3042357845310448</v>
      </c>
      <c r="F505" s="1">
        <f t="shared" si="62"/>
        <v>80</v>
      </c>
      <c r="G505" s="9">
        <f t="shared" si="58"/>
        <v>0</v>
      </c>
      <c r="H505" s="9">
        <f t="shared" si="59"/>
        <v>80</v>
      </c>
      <c r="I505" s="9">
        <f t="shared" si="60"/>
        <v>0</v>
      </c>
      <c r="J505" s="9">
        <f t="shared" si="61"/>
        <v>0</v>
      </c>
      <c r="K505" s="1">
        <f t="shared" si="63"/>
        <v>80</v>
      </c>
      <c r="L505" s="1"/>
      <c r="M505" s="3"/>
      <c r="N505" s="3"/>
      <c r="O505" s="3"/>
      <c r="P505" s="3"/>
      <c r="Q505" s="3"/>
      <c r="R505" s="1"/>
    </row>
    <row r="506" spans="2:18" x14ac:dyDescent="0.2">
      <c r="B506">
        <v>494</v>
      </c>
      <c r="C506" s="1">
        <v>-8.6789948005982429E-3</v>
      </c>
      <c r="D506" s="1">
        <f t="shared" si="57"/>
        <v>87.353472452310626</v>
      </c>
      <c r="E506" s="18">
        <f t="shared" si="64"/>
        <v>-7.3534724523106263</v>
      </c>
      <c r="F506" s="1">
        <f t="shared" si="62"/>
        <v>80</v>
      </c>
      <c r="G506" s="9">
        <f t="shared" si="58"/>
        <v>0</v>
      </c>
      <c r="H506" s="9">
        <f t="shared" si="59"/>
        <v>80</v>
      </c>
      <c r="I506" s="9">
        <f t="shared" si="60"/>
        <v>0</v>
      </c>
      <c r="J506" s="9">
        <f t="shared" si="61"/>
        <v>0</v>
      </c>
      <c r="K506" s="1">
        <f t="shared" si="63"/>
        <v>80</v>
      </c>
      <c r="L506" s="1"/>
      <c r="M506" s="3"/>
      <c r="N506" s="3"/>
      <c r="O506" s="3"/>
      <c r="P506" s="3"/>
      <c r="Q506" s="3"/>
      <c r="R506" s="1"/>
    </row>
    <row r="507" spans="2:18" x14ac:dyDescent="0.2">
      <c r="B507">
        <v>495</v>
      </c>
      <c r="C507" s="1">
        <v>-2.239324478695153E-3</v>
      </c>
      <c r="D507" s="1">
        <f t="shared" si="57"/>
        <v>87.691641879928525</v>
      </c>
      <c r="E507" s="18">
        <f t="shared" si="64"/>
        <v>-7.6916418799285253</v>
      </c>
      <c r="F507" s="1">
        <f t="shared" si="62"/>
        <v>80</v>
      </c>
      <c r="G507" s="9">
        <f t="shared" si="58"/>
        <v>0</v>
      </c>
      <c r="H507" s="9">
        <f t="shared" si="59"/>
        <v>80</v>
      </c>
      <c r="I507" s="9">
        <f t="shared" si="60"/>
        <v>0</v>
      </c>
      <c r="J507" s="9">
        <f t="shared" si="61"/>
        <v>0</v>
      </c>
      <c r="K507" s="1">
        <f t="shared" si="63"/>
        <v>80</v>
      </c>
      <c r="L507" s="1"/>
      <c r="M507" s="3"/>
      <c r="N507" s="3"/>
      <c r="O507" s="3"/>
      <c r="P507" s="3"/>
      <c r="Q507" s="3"/>
      <c r="R507" s="1"/>
    </row>
    <row r="508" spans="2:18" x14ac:dyDescent="0.2">
      <c r="B508">
        <v>496</v>
      </c>
      <c r="C508" s="1">
        <v>-2.0515878267745166E-3</v>
      </c>
      <c r="D508" s="1">
        <f t="shared" si="57"/>
        <v>87.701520197423548</v>
      </c>
      <c r="E508" s="18">
        <f t="shared" si="64"/>
        <v>-7.7015201974235481</v>
      </c>
      <c r="F508" s="1">
        <f t="shared" si="62"/>
        <v>80</v>
      </c>
      <c r="G508" s="9">
        <f t="shared" si="58"/>
        <v>0</v>
      </c>
      <c r="H508" s="9">
        <f t="shared" si="59"/>
        <v>80</v>
      </c>
      <c r="I508" s="9">
        <f t="shared" si="60"/>
        <v>0</v>
      </c>
      <c r="J508" s="9">
        <f t="shared" si="61"/>
        <v>0</v>
      </c>
      <c r="K508" s="1">
        <f t="shared" si="63"/>
        <v>80</v>
      </c>
      <c r="L508" s="1"/>
      <c r="M508" s="3"/>
      <c r="N508" s="3"/>
      <c r="O508" s="3"/>
      <c r="P508" s="3"/>
      <c r="Q508" s="3"/>
      <c r="R508" s="1"/>
    </row>
    <row r="509" spans="2:18" x14ac:dyDescent="0.2">
      <c r="B509">
        <v>497</v>
      </c>
      <c r="C509" s="1">
        <v>-1.5096018191127708E-3</v>
      </c>
      <c r="D509" s="1">
        <f t="shared" si="57"/>
        <v>87.730044633204287</v>
      </c>
      <c r="E509" s="18">
        <f t="shared" si="64"/>
        <v>-7.7300446332042867</v>
      </c>
      <c r="F509" s="1">
        <f t="shared" si="62"/>
        <v>80</v>
      </c>
      <c r="G509" s="9">
        <f t="shared" si="58"/>
        <v>0</v>
      </c>
      <c r="H509" s="9">
        <f t="shared" si="59"/>
        <v>80</v>
      </c>
      <c r="I509" s="9">
        <f t="shared" si="60"/>
        <v>0</v>
      </c>
      <c r="J509" s="9">
        <f t="shared" si="61"/>
        <v>0</v>
      </c>
      <c r="K509" s="1">
        <f t="shared" si="63"/>
        <v>80</v>
      </c>
      <c r="L509" s="1"/>
      <c r="M509" s="3"/>
      <c r="N509" s="3"/>
      <c r="O509" s="3"/>
      <c r="P509" s="3"/>
      <c r="Q509" s="3"/>
      <c r="R509" s="1"/>
    </row>
    <row r="510" spans="2:18" x14ac:dyDescent="0.2">
      <c r="B510">
        <v>498</v>
      </c>
      <c r="C510" s="1">
        <v>1.419284646574859E-3</v>
      </c>
      <c r="D510" s="1">
        <f t="shared" si="57"/>
        <v>87.884350981442054</v>
      </c>
      <c r="E510" s="18">
        <f t="shared" si="64"/>
        <v>-7.8843509814420543</v>
      </c>
      <c r="F510" s="1">
        <f t="shared" si="62"/>
        <v>80</v>
      </c>
      <c r="G510" s="9">
        <f t="shared" si="58"/>
        <v>0</v>
      </c>
      <c r="H510" s="9">
        <f t="shared" si="59"/>
        <v>80</v>
      </c>
      <c r="I510" s="9">
        <f t="shared" si="60"/>
        <v>0</v>
      </c>
      <c r="J510" s="9">
        <f t="shared" si="61"/>
        <v>0</v>
      </c>
      <c r="K510" s="1">
        <f t="shared" si="63"/>
        <v>80</v>
      </c>
      <c r="L510" s="1"/>
      <c r="M510" s="3"/>
      <c r="N510" s="3"/>
      <c r="O510" s="3"/>
      <c r="P510" s="3"/>
      <c r="Q510" s="3"/>
      <c r="R510" s="1"/>
    </row>
    <row r="511" spans="2:18" x14ac:dyDescent="0.2">
      <c r="B511">
        <v>499</v>
      </c>
      <c r="C511" s="1">
        <v>3.7243096396552531E-3</v>
      </c>
      <c r="D511" s="1">
        <f t="shared" si="57"/>
        <v>88.005980445048792</v>
      </c>
      <c r="E511" s="18">
        <f t="shared" si="64"/>
        <v>-8.0059804450487917</v>
      </c>
      <c r="F511" s="1">
        <f t="shared" si="62"/>
        <v>80</v>
      </c>
      <c r="G511" s="9">
        <f t="shared" si="58"/>
        <v>0</v>
      </c>
      <c r="H511" s="9">
        <f t="shared" si="59"/>
        <v>80</v>
      </c>
      <c r="I511" s="9">
        <f t="shared" si="60"/>
        <v>0</v>
      </c>
      <c r="J511" s="9">
        <f t="shared" si="61"/>
        <v>0</v>
      </c>
      <c r="K511" s="1">
        <f t="shared" si="63"/>
        <v>80</v>
      </c>
      <c r="L511" s="1"/>
      <c r="M511" s="3"/>
      <c r="N511" s="3"/>
      <c r="O511" s="3"/>
      <c r="P511" s="3"/>
      <c r="Q511" s="3"/>
      <c r="R511" s="1"/>
    </row>
    <row r="512" spans="2:18" x14ac:dyDescent="0.2">
      <c r="B512">
        <v>500</v>
      </c>
      <c r="C512" s="1">
        <v>4.3099145765961187E-3</v>
      </c>
      <c r="D512" s="1">
        <f t="shared" si="57"/>
        <v>88.036907920092602</v>
      </c>
      <c r="E512" s="18">
        <f t="shared" si="64"/>
        <v>-8.0369079200926024</v>
      </c>
      <c r="F512" s="1">
        <f t="shared" si="62"/>
        <v>80</v>
      </c>
      <c r="G512" s="9">
        <f t="shared" si="58"/>
        <v>0</v>
      </c>
      <c r="H512" s="9">
        <f t="shared" si="59"/>
        <v>80</v>
      </c>
      <c r="I512" s="9">
        <f t="shared" si="60"/>
        <v>0</v>
      </c>
      <c r="J512" s="9">
        <f t="shared" si="61"/>
        <v>0</v>
      </c>
      <c r="K512" s="1">
        <f t="shared" si="63"/>
        <v>80</v>
      </c>
      <c r="L512" s="1"/>
      <c r="M512" s="3"/>
      <c r="N512" s="3"/>
      <c r="O512" s="3"/>
      <c r="P512" s="3"/>
      <c r="Q512" s="3"/>
      <c r="R512" s="1"/>
    </row>
    <row r="513" spans="2:18" x14ac:dyDescent="0.2">
      <c r="B513">
        <v>501</v>
      </c>
      <c r="C513" s="1">
        <v>4.7039764741188877E-3</v>
      </c>
      <c r="D513" s="1">
        <f t="shared" si="57"/>
        <v>88.057725575621291</v>
      </c>
      <c r="E513" s="18">
        <f t="shared" si="64"/>
        <v>-8.0577255756212907</v>
      </c>
      <c r="F513" s="1">
        <f t="shared" si="62"/>
        <v>80</v>
      </c>
      <c r="G513" s="9">
        <f t="shared" si="58"/>
        <v>0</v>
      </c>
      <c r="H513" s="9">
        <f t="shared" si="59"/>
        <v>80</v>
      </c>
      <c r="I513" s="9">
        <f t="shared" si="60"/>
        <v>0</v>
      </c>
      <c r="J513" s="9">
        <f t="shared" si="61"/>
        <v>0</v>
      </c>
      <c r="K513" s="1">
        <f t="shared" si="63"/>
        <v>80</v>
      </c>
      <c r="L513" s="1"/>
      <c r="M513" s="3"/>
      <c r="N513" s="3"/>
      <c r="O513" s="3"/>
      <c r="P513" s="3"/>
      <c r="Q513" s="3"/>
      <c r="R513" s="1"/>
    </row>
    <row r="514" spans="2:18" x14ac:dyDescent="0.2">
      <c r="B514">
        <v>502</v>
      </c>
      <c r="C514" s="1">
        <v>5.3895384167294636E-3</v>
      </c>
      <c r="D514" s="1">
        <f t="shared" si="57"/>
        <v>88.093954441494475</v>
      </c>
      <c r="E514" s="18">
        <f t="shared" si="64"/>
        <v>-8.0939544414944748</v>
      </c>
      <c r="F514" s="1">
        <f t="shared" si="62"/>
        <v>80</v>
      </c>
      <c r="G514" s="9">
        <f t="shared" si="58"/>
        <v>0</v>
      </c>
      <c r="H514" s="9">
        <f t="shared" si="59"/>
        <v>80</v>
      </c>
      <c r="I514" s="9">
        <f t="shared" si="60"/>
        <v>0</v>
      </c>
      <c r="J514" s="9">
        <f t="shared" si="61"/>
        <v>0</v>
      </c>
      <c r="K514" s="1">
        <f t="shared" si="63"/>
        <v>80</v>
      </c>
      <c r="L514" s="1"/>
      <c r="M514" s="3"/>
      <c r="N514" s="3"/>
      <c r="O514" s="3"/>
      <c r="P514" s="3"/>
      <c r="Q514" s="3"/>
      <c r="R514" s="1"/>
    </row>
    <row r="515" spans="2:18" x14ac:dyDescent="0.2">
      <c r="B515">
        <v>503</v>
      </c>
      <c r="C515" s="1">
        <v>1.4016619025738333E-2</v>
      </c>
      <c r="D515" s="1">
        <f t="shared" si="57"/>
        <v>88.551132842865272</v>
      </c>
      <c r="E515" s="18">
        <f t="shared" si="64"/>
        <v>-8.5511328428652718</v>
      </c>
      <c r="F515" s="1">
        <f t="shared" si="62"/>
        <v>80</v>
      </c>
      <c r="G515" s="9">
        <f t="shared" si="58"/>
        <v>0</v>
      </c>
      <c r="H515" s="9">
        <f t="shared" si="59"/>
        <v>80</v>
      </c>
      <c r="I515" s="9">
        <f t="shared" si="60"/>
        <v>0</v>
      </c>
      <c r="J515" s="9">
        <f t="shared" si="61"/>
        <v>0</v>
      </c>
      <c r="K515" s="1">
        <f t="shared" si="63"/>
        <v>80</v>
      </c>
      <c r="L515" s="1"/>
      <c r="M515" s="3"/>
      <c r="N515" s="3"/>
      <c r="O515" s="3"/>
      <c r="P515" s="3"/>
      <c r="Q515" s="3"/>
      <c r="R515" s="1"/>
    </row>
    <row r="516" spans="2:18" x14ac:dyDescent="0.2">
      <c r="B516">
        <v>504</v>
      </c>
      <c r="C516" s="1">
        <v>1.436801410001823E-2</v>
      </c>
      <c r="D516" s="1">
        <f t="shared" si="57"/>
        <v>88.569804670294289</v>
      </c>
      <c r="E516" s="18">
        <f t="shared" si="64"/>
        <v>-8.5698046702942889</v>
      </c>
      <c r="F516" s="1">
        <f t="shared" si="62"/>
        <v>80</v>
      </c>
      <c r="G516" s="9">
        <f t="shared" si="58"/>
        <v>0</v>
      </c>
      <c r="H516" s="9">
        <f t="shared" si="59"/>
        <v>80</v>
      </c>
      <c r="I516" s="9">
        <f t="shared" si="60"/>
        <v>0</v>
      </c>
      <c r="J516" s="9">
        <f t="shared" si="61"/>
        <v>0</v>
      </c>
      <c r="K516" s="1">
        <f t="shared" si="63"/>
        <v>80</v>
      </c>
      <c r="L516" s="1"/>
      <c r="M516" s="3"/>
      <c r="N516" s="3"/>
      <c r="O516" s="3"/>
      <c r="P516" s="3"/>
      <c r="Q516" s="3"/>
      <c r="R516" s="1"/>
    </row>
    <row r="517" spans="2:18" x14ac:dyDescent="0.2">
      <c r="B517">
        <v>505</v>
      </c>
      <c r="C517" s="1">
        <v>1.5931522624503015E-2</v>
      </c>
      <c r="D517" s="1">
        <f t="shared" si="57"/>
        <v>88.652931441791168</v>
      </c>
      <c r="E517" s="18">
        <f t="shared" si="64"/>
        <v>-8.6529314417911678</v>
      </c>
      <c r="F517" s="1">
        <f t="shared" si="62"/>
        <v>80</v>
      </c>
      <c r="G517" s="9">
        <f t="shared" si="58"/>
        <v>0</v>
      </c>
      <c r="H517" s="9">
        <f t="shared" si="59"/>
        <v>80</v>
      </c>
      <c r="I517" s="9">
        <f t="shared" si="60"/>
        <v>0</v>
      </c>
      <c r="J517" s="9">
        <f t="shared" si="61"/>
        <v>0</v>
      </c>
      <c r="K517" s="1">
        <f t="shared" si="63"/>
        <v>80</v>
      </c>
      <c r="L517" s="1"/>
      <c r="M517" s="3"/>
      <c r="N517" s="3"/>
      <c r="O517" s="3"/>
      <c r="P517" s="3"/>
      <c r="Q517" s="3"/>
      <c r="R517" s="1"/>
    </row>
    <row r="518" spans="2:18" x14ac:dyDescent="0.2">
      <c r="B518">
        <v>506</v>
      </c>
      <c r="C518" s="1">
        <v>1.6012170374319339E-2</v>
      </c>
      <c r="D518" s="1">
        <f t="shared" si="57"/>
        <v>88.657221341242803</v>
      </c>
      <c r="E518" s="18">
        <f t="shared" si="64"/>
        <v>-8.6572213412428027</v>
      </c>
      <c r="F518" s="1">
        <f t="shared" si="62"/>
        <v>80</v>
      </c>
      <c r="G518" s="9">
        <f t="shared" si="58"/>
        <v>0</v>
      </c>
      <c r="H518" s="9">
        <f t="shared" si="59"/>
        <v>80</v>
      </c>
      <c r="I518" s="9">
        <f t="shared" si="60"/>
        <v>0</v>
      </c>
      <c r="J518" s="9">
        <f t="shared" si="61"/>
        <v>0</v>
      </c>
      <c r="K518" s="1">
        <f t="shared" si="63"/>
        <v>80</v>
      </c>
      <c r="L518" s="1"/>
      <c r="M518" s="3"/>
      <c r="N518" s="3"/>
      <c r="O518" s="3"/>
      <c r="P518" s="3"/>
      <c r="Q518" s="3"/>
      <c r="R518" s="1"/>
    </row>
    <row r="519" spans="2:18" x14ac:dyDescent="0.2">
      <c r="B519">
        <v>507</v>
      </c>
      <c r="C519" s="1">
        <v>2.3359223934871415E-2</v>
      </c>
      <c r="D519" s="1">
        <f t="shared" si="57"/>
        <v>89.048905636842775</v>
      </c>
      <c r="E519" s="18">
        <f t="shared" si="64"/>
        <v>-9.0489056368427754</v>
      </c>
      <c r="F519" s="1">
        <f t="shared" si="62"/>
        <v>80</v>
      </c>
      <c r="G519" s="9">
        <f t="shared" si="58"/>
        <v>0</v>
      </c>
      <c r="H519" s="9">
        <f t="shared" si="59"/>
        <v>80</v>
      </c>
      <c r="I519" s="9">
        <f t="shared" si="60"/>
        <v>0</v>
      </c>
      <c r="J519" s="9">
        <f t="shared" si="61"/>
        <v>0</v>
      </c>
      <c r="K519" s="1">
        <f t="shared" si="63"/>
        <v>80</v>
      </c>
      <c r="L519" s="1"/>
      <c r="M519" s="3"/>
      <c r="N519" s="3"/>
      <c r="O519" s="3"/>
      <c r="P519" s="3"/>
      <c r="Q519" s="3"/>
      <c r="R519" s="1"/>
    </row>
    <row r="520" spans="2:18" x14ac:dyDescent="0.2">
      <c r="B520">
        <v>508</v>
      </c>
      <c r="C520" s="1">
        <v>2.4052727745043308E-2</v>
      </c>
      <c r="D520" s="1">
        <f t="shared" si="57"/>
        <v>89.085966800135907</v>
      </c>
      <c r="E520" s="18">
        <f t="shared" si="64"/>
        <v>-9.0859668001359069</v>
      </c>
      <c r="F520" s="1">
        <f t="shared" si="62"/>
        <v>80</v>
      </c>
      <c r="G520" s="9">
        <f t="shared" si="58"/>
        <v>0</v>
      </c>
      <c r="H520" s="9">
        <f t="shared" si="59"/>
        <v>80</v>
      </c>
      <c r="I520" s="9">
        <f t="shared" si="60"/>
        <v>0</v>
      </c>
      <c r="J520" s="9">
        <f t="shared" si="61"/>
        <v>0</v>
      </c>
      <c r="K520" s="1">
        <f t="shared" si="63"/>
        <v>80</v>
      </c>
      <c r="L520" s="1"/>
      <c r="M520" s="3"/>
      <c r="N520" s="3"/>
      <c r="O520" s="3"/>
      <c r="P520" s="3"/>
      <c r="Q520" s="3"/>
      <c r="R520" s="1"/>
    </row>
    <row r="521" spans="2:18" x14ac:dyDescent="0.2">
      <c r="B521">
        <v>509</v>
      </c>
      <c r="C521" s="1">
        <v>2.4772592418012367E-2</v>
      </c>
      <c r="D521" s="1">
        <f t="shared" si="57"/>
        <v>89.124453015211614</v>
      </c>
      <c r="E521" s="18">
        <f t="shared" si="64"/>
        <v>-9.1244530152116141</v>
      </c>
      <c r="F521" s="1">
        <f t="shared" si="62"/>
        <v>80</v>
      </c>
      <c r="G521" s="9">
        <f t="shared" si="58"/>
        <v>0</v>
      </c>
      <c r="H521" s="9">
        <f t="shared" si="59"/>
        <v>80</v>
      </c>
      <c r="I521" s="9">
        <f t="shared" si="60"/>
        <v>0</v>
      </c>
      <c r="J521" s="9">
        <f t="shared" si="61"/>
        <v>0</v>
      </c>
      <c r="K521" s="1">
        <f t="shared" si="63"/>
        <v>80</v>
      </c>
      <c r="L521" s="1"/>
      <c r="M521" s="3"/>
      <c r="N521" s="3"/>
      <c r="O521" s="3"/>
      <c r="P521" s="3"/>
      <c r="Q521" s="3"/>
      <c r="R521" s="1"/>
    </row>
    <row r="522" spans="2:18" x14ac:dyDescent="0.2">
      <c r="B522">
        <v>510</v>
      </c>
      <c r="C522" s="1">
        <v>2.8706967102175861E-2</v>
      </c>
      <c r="D522" s="1">
        <f t="shared" si="57"/>
        <v>89.335090930950514</v>
      </c>
      <c r="E522" s="18">
        <f t="shared" si="64"/>
        <v>-9.3350909309505141</v>
      </c>
      <c r="F522" s="1">
        <f t="shared" si="62"/>
        <v>80</v>
      </c>
      <c r="G522" s="9">
        <f t="shared" si="58"/>
        <v>0</v>
      </c>
      <c r="H522" s="9">
        <f t="shared" si="59"/>
        <v>80</v>
      </c>
      <c r="I522" s="9">
        <f t="shared" si="60"/>
        <v>0</v>
      </c>
      <c r="J522" s="9">
        <f t="shared" si="61"/>
        <v>0</v>
      </c>
      <c r="K522" s="1">
        <f t="shared" si="63"/>
        <v>80</v>
      </c>
      <c r="L522" s="1"/>
      <c r="M522" s="3"/>
      <c r="N522" s="3"/>
      <c r="O522" s="3"/>
      <c r="P522" s="3"/>
      <c r="Q522" s="3"/>
      <c r="R522" s="1"/>
    </row>
    <row r="523" spans="2:18" x14ac:dyDescent="0.2">
      <c r="B523">
        <v>511</v>
      </c>
      <c r="C523" s="1">
        <v>3.273523929129464E-2</v>
      </c>
      <c r="D523" s="1">
        <f t="shared" si="57"/>
        <v>89.551271713607818</v>
      </c>
      <c r="E523" s="18">
        <f t="shared" si="64"/>
        <v>-9.551271713607818</v>
      </c>
      <c r="F523" s="1">
        <f t="shared" si="62"/>
        <v>80</v>
      </c>
      <c r="G523" s="9">
        <f t="shared" si="58"/>
        <v>0</v>
      </c>
      <c r="H523" s="9">
        <f t="shared" si="59"/>
        <v>80</v>
      </c>
      <c r="I523" s="9">
        <f t="shared" si="60"/>
        <v>0</v>
      </c>
      <c r="J523" s="9">
        <f t="shared" si="61"/>
        <v>0</v>
      </c>
      <c r="K523" s="1">
        <f t="shared" si="63"/>
        <v>80</v>
      </c>
      <c r="L523" s="1"/>
      <c r="M523" s="3"/>
      <c r="N523" s="3"/>
      <c r="O523" s="3"/>
      <c r="P523" s="3"/>
      <c r="Q523" s="3"/>
      <c r="R523" s="1"/>
    </row>
    <row r="524" spans="2:18" x14ac:dyDescent="0.2">
      <c r="B524">
        <v>512</v>
      </c>
      <c r="C524" s="1">
        <v>3.501512469579772E-2</v>
      </c>
      <c r="D524" s="1">
        <f t="shared" si="57"/>
        <v>89.673855520002576</v>
      </c>
      <c r="E524" s="18">
        <f t="shared" si="64"/>
        <v>-9.6738555200025758</v>
      </c>
      <c r="F524" s="1">
        <f t="shared" si="62"/>
        <v>80</v>
      </c>
      <c r="G524" s="9">
        <f t="shared" si="58"/>
        <v>0</v>
      </c>
      <c r="H524" s="9">
        <f t="shared" si="59"/>
        <v>80</v>
      </c>
      <c r="I524" s="9">
        <f t="shared" si="60"/>
        <v>0</v>
      </c>
      <c r="J524" s="9">
        <f t="shared" si="61"/>
        <v>0</v>
      </c>
      <c r="K524" s="1">
        <f t="shared" si="63"/>
        <v>80</v>
      </c>
      <c r="L524" s="1"/>
      <c r="M524" s="3"/>
      <c r="N524" s="3"/>
      <c r="O524" s="3"/>
      <c r="P524" s="3"/>
      <c r="Q524" s="3"/>
      <c r="R524" s="1"/>
    </row>
    <row r="525" spans="2:18" x14ac:dyDescent="0.2">
      <c r="B525">
        <v>513</v>
      </c>
      <c r="C525" s="1">
        <v>3.5471387780022227E-2</v>
      </c>
      <c r="D525" s="1">
        <f t="shared" ref="D525:D588" si="65">a0*EXP((RR-0.5*sigma^2)*T+sigma*SQRT(T)*C525)</f>
        <v>89.6984078024756</v>
      </c>
      <c r="E525" s="18">
        <f t="shared" si="64"/>
        <v>-9.6984078024756002</v>
      </c>
      <c r="F525" s="1">
        <f t="shared" si="62"/>
        <v>80</v>
      </c>
      <c r="G525" s="9">
        <f t="shared" ref="G525:G588" si="66">IF(F525&lt;F,MIN(disc,F525),0)</f>
        <v>0</v>
      </c>
      <c r="H525" s="9">
        <f t="shared" ref="H525:H588" si="67">IF(F525&gt;=F,F,F525-G525)</f>
        <v>80</v>
      </c>
      <c r="I525" s="9">
        <f t="shared" ref="I525:I588" si="68">(1-tax)*(F525-G525-H525)</f>
        <v>0</v>
      </c>
      <c r="J525" s="9">
        <f t="shared" ref="J525:J588" si="69">tax*(F525-G525-H525)</f>
        <v>0</v>
      </c>
      <c r="K525" s="1">
        <f t="shared" si="63"/>
        <v>80</v>
      </c>
      <c r="L525" s="1"/>
      <c r="M525" s="3"/>
      <c r="N525" s="3"/>
      <c r="O525" s="3"/>
      <c r="P525" s="3"/>
      <c r="Q525" s="3"/>
      <c r="R525" s="1"/>
    </row>
    <row r="526" spans="2:18" x14ac:dyDescent="0.2">
      <c r="B526">
        <v>514</v>
      </c>
      <c r="C526" s="1">
        <v>3.6648681447600008E-2</v>
      </c>
      <c r="D526" s="1">
        <f t="shared" si="65"/>
        <v>89.761791006532107</v>
      </c>
      <c r="E526" s="18">
        <f t="shared" si="64"/>
        <v>-9.761791006532107</v>
      </c>
      <c r="F526" s="1">
        <f t="shared" ref="F526:F589" si="70">D526+E526</f>
        <v>80</v>
      </c>
      <c r="G526" s="9">
        <f t="shared" si="66"/>
        <v>0</v>
      </c>
      <c r="H526" s="9">
        <f t="shared" si="67"/>
        <v>80</v>
      </c>
      <c r="I526" s="9">
        <f t="shared" si="68"/>
        <v>0</v>
      </c>
      <c r="J526" s="9">
        <f t="shared" si="69"/>
        <v>0</v>
      </c>
      <c r="K526" s="1">
        <f t="shared" ref="K526:K589" si="71">SUM(G526:J526)</f>
        <v>80</v>
      </c>
      <c r="L526" s="1"/>
      <c r="M526" s="3"/>
      <c r="N526" s="3"/>
      <c r="O526" s="3"/>
      <c r="P526" s="3"/>
      <c r="Q526" s="3"/>
      <c r="R526" s="1"/>
    </row>
    <row r="527" spans="2:18" x14ac:dyDescent="0.2">
      <c r="B527">
        <v>515</v>
      </c>
      <c r="C527" s="1">
        <v>3.6904959264285719E-2</v>
      </c>
      <c r="D527" s="1">
        <f t="shared" si="65"/>
        <v>89.775594441251727</v>
      </c>
      <c r="E527" s="18">
        <f t="shared" si="64"/>
        <v>-9.7755944412517266</v>
      </c>
      <c r="F527" s="1">
        <f t="shared" si="70"/>
        <v>80</v>
      </c>
      <c r="G527" s="9">
        <f t="shared" si="66"/>
        <v>0</v>
      </c>
      <c r="H527" s="9">
        <f t="shared" si="67"/>
        <v>80</v>
      </c>
      <c r="I527" s="9">
        <f t="shared" si="68"/>
        <v>0</v>
      </c>
      <c r="J527" s="9">
        <f t="shared" si="69"/>
        <v>0</v>
      </c>
      <c r="K527" s="1">
        <f t="shared" si="71"/>
        <v>80</v>
      </c>
      <c r="L527" s="1"/>
      <c r="M527" s="3"/>
      <c r="N527" s="3"/>
      <c r="O527" s="3"/>
      <c r="P527" s="3"/>
      <c r="Q527" s="3"/>
      <c r="R527" s="1"/>
    </row>
    <row r="528" spans="2:18" x14ac:dyDescent="0.2">
      <c r="B528">
        <v>516</v>
      </c>
      <c r="C528" s="1">
        <v>4.0133887199551715E-2</v>
      </c>
      <c r="D528" s="1">
        <f t="shared" si="65"/>
        <v>89.949690384652527</v>
      </c>
      <c r="E528" s="18">
        <f t="shared" si="64"/>
        <v>-9.9496903846525271</v>
      </c>
      <c r="F528" s="1">
        <f t="shared" si="70"/>
        <v>80</v>
      </c>
      <c r="G528" s="9">
        <f t="shared" si="66"/>
        <v>0</v>
      </c>
      <c r="H528" s="9">
        <f t="shared" si="67"/>
        <v>80</v>
      </c>
      <c r="I528" s="9">
        <f t="shared" si="68"/>
        <v>0</v>
      </c>
      <c r="J528" s="9">
        <f t="shared" si="69"/>
        <v>0</v>
      </c>
      <c r="K528" s="1">
        <f t="shared" si="71"/>
        <v>80</v>
      </c>
      <c r="L528" s="1"/>
      <c r="M528" s="3"/>
      <c r="N528" s="3"/>
      <c r="O528" s="3"/>
      <c r="P528" s="3"/>
      <c r="Q528" s="3"/>
      <c r="R528" s="1"/>
    </row>
    <row r="529" spans="2:18" x14ac:dyDescent="0.2">
      <c r="B529">
        <v>517</v>
      </c>
      <c r="C529" s="1">
        <v>4.2173114771070296E-2</v>
      </c>
      <c r="D529" s="1">
        <f t="shared" si="65"/>
        <v>90.059814474547451</v>
      </c>
      <c r="E529" s="18">
        <f t="shared" si="64"/>
        <v>-10.059814474547451</v>
      </c>
      <c r="F529" s="1">
        <f t="shared" si="70"/>
        <v>80</v>
      </c>
      <c r="G529" s="9">
        <f t="shared" si="66"/>
        <v>0</v>
      </c>
      <c r="H529" s="9">
        <f t="shared" si="67"/>
        <v>80</v>
      </c>
      <c r="I529" s="9">
        <f t="shared" si="68"/>
        <v>0</v>
      </c>
      <c r="J529" s="9">
        <f t="shared" si="69"/>
        <v>0</v>
      </c>
      <c r="K529" s="1">
        <f t="shared" si="71"/>
        <v>80</v>
      </c>
      <c r="L529" s="1"/>
      <c r="M529" s="3"/>
      <c r="N529" s="3"/>
      <c r="O529" s="3"/>
      <c r="P529" s="3"/>
      <c r="Q529" s="3"/>
      <c r="R529" s="1"/>
    </row>
    <row r="530" spans="2:18" x14ac:dyDescent="0.2">
      <c r="B530">
        <v>518</v>
      </c>
      <c r="C530" s="1">
        <v>4.2781201091653863E-2</v>
      </c>
      <c r="D530" s="1">
        <f t="shared" si="65"/>
        <v>90.092678954244803</v>
      </c>
      <c r="E530" s="18">
        <f t="shared" si="64"/>
        <v>-10.092678954244803</v>
      </c>
      <c r="F530" s="1">
        <f t="shared" si="70"/>
        <v>80</v>
      </c>
      <c r="G530" s="9">
        <f t="shared" si="66"/>
        <v>0</v>
      </c>
      <c r="H530" s="9">
        <f t="shared" si="67"/>
        <v>80</v>
      </c>
      <c r="I530" s="9">
        <f t="shared" si="68"/>
        <v>0</v>
      </c>
      <c r="J530" s="9">
        <f t="shared" si="69"/>
        <v>0</v>
      </c>
      <c r="K530" s="1">
        <f t="shared" si="71"/>
        <v>80</v>
      </c>
      <c r="L530" s="1"/>
      <c r="M530" s="3"/>
      <c r="N530" s="3"/>
      <c r="O530" s="3"/>
      <c r="P530" s="3"/>
      <c r="Q530" s="3"/>
      <c r="R530" s="1"/>
    </row>
    <row r="531" spans="2:18" x14ac:dyDescent="0.2">
      <c r="B531">
        <v>519</v>
      </c>
      <c r="C531" s="1">
        <v>4.6631269303532209E-2</v>
      </c>
      <c r="D531" s="1">
        <f t="shared" si="65"/>
        <v>90.301037295356338</v>
      </c>
      <c r="E531" s="18">
        <f t="shared" si="64"/>
        <v>-10.301037295356338</v>
      </c>
      <c r="F531" s="1">
        <f t="shared" si="70"/>
        <v>80</v>
      </c>
      <c r="G531" s="9">
        <f t="shared" si="66"/>
        <v>0</v>
      </c>
      <c r="H531" s="9">
        <f t="shared" si="67"/>
        <v>80</v>
      </c>
      <c r="I531" s="9">
        <f t="shared" si="68"/>
        <v>0</v>
      </c>
      <c r="J531" s="9">
        <f t="shared" si="69"/>
        <v>0</v>
      </c>
      <c r="K531" s="1">
        <f t="shared" si="71"/>
        <v>80</v>
      </c>
      <c r="L531" s="1"/>
      <c r="M531" s="3"/>
      <c r="N531" s="3"/>
      <c r="O531" s="3"/>
      <c r="P531" s="3"/>
      <c r="Q531" s="3"/>
      <c r="R531" s="1"/>
    </row>
    <row r="532" spans="2:18" x14ac:dyDescent="0.2">
      <c r="B532">
        <v>520</v>
      </c>
      <c r="C532" s="1">
        <v>4.8588872548103873E-2</v>
      </c>
      <c r="D532" s="1">
        <f t="shared" si="65"/>
        <v>90.407163771374059</v>
      </c>
      <c r="E532" s="18">
        <f t="shared" si="64"/>
        <v>-10.407163771374059</v>
      </c>
      <c r="F532" s="1">
        <f t="shared" si="70"/>
        <v>80</v>
      </c>
      <c r="G532" s="9">
        <f t="shared" si="66"/>
        <v>0</v>
      </c>
      <c r="H532" s="9">
        <f t="shared" si="67"/>
        <v>80</v>
      </c>
      <c r="I532" s="9">
        <f t="shared" si="68"/>
        <v>0</v>
      </c>
      <c r="J532" s="9">
        <f t="shared" si="69"/>
        <v>0</v>
      </c>
      <c r="K532" s="1">
        <f t="shared" si="71"/>
        <v>80</v>
      </c>
      <c r="L532" s="1"/>
      <c r="M532" s="3"/>
      <c r="N532" s="3"/>
      <c r="O532" s="3"/>
      <c r="P532" s="3"/>
      <c r="Q532" s="3"/>
      <c r="R532" s="1"/>
    </row>
    <row r="533" spans="2:18" x14ac:dyDescent="0.2">
      <c r="B533">
        <v>521</v>
      </c>
      <c r="C533" s="1">
        <v>4.9226707760778338E-2</v>
      </c>
      <c r="D533" s="1">
        <f t="shared" si="65"/>
        <v>90.441769316261059</v>
      </c>
      <c r="E533" s="18">
        <f t="shared" si="64"/>
        <v>-10.441769316261059</v>
      </c>
      <c r="F533" s="1">
        <f t="shared" si="70"/>
        <v>80</v>
      </c>
      <c r="G533" s="9">
        <f t="shared" si="66"/>
        <v>0</v>
      </c>
      <c r="H533" s="9">
        <f t="shared" si="67"/>
        <v>80</v>
      </c>
      <c r="I533" s="9">
        <f t="shared" si="68"/>
        <v>0</v>
      </c>
      <c r="J533" s="9">
        <f t="shared" si="69"/>
        <v>0</v>
      </c>
      <c r="K533" s="1">
        <f t="shared" si="71"/>
        <v>80</v>
      </c>
      <c r="L533" s="1"/>
      <c r="M533" s="3"/>
      <c r="N533" s="3"/>
      <c r="O533" s="3"/>
      <c r="P533" s="3"/>
      <c r="Q533" s="3"/>
      <c r="R533" s="1"/>
    </row>
    <row r="534" spans="2:18" x14ac:dyDescent="0.2">
      <c r="B534">
        <v>522</v>
      </c>
      <c r="C534" s="1">
        <v>5.292903679172082E-2</v>
      </c>
      <c r="D534" s="1">
        <f t="shared" si="65"/>
        <v>90.64289974174639</v>
      </c>
      <c r="E534" s="18">
        <f t="shared" si="64"/>
        <v>-10.64289974174639</v>
      </c>
      <c r="F534" s="1">
        <f t="shared" si="70"/>
        <v>80</v>
      </c>
      <c r="G534" s="9">
        <f t="shared" si="66"/>
        <v>0</v>
      </c>
      <c r="H534" s="9">
        <f t="shared" si="67"/>
        <v>80</v>
      </c>
      <c r="I534" s="9">
        <f t="shared" si="68"/>
        <v>0</v>
      </c>
      <c r="J534" s="9">
        <f t="shared" si="69"/>
        <v>0</v>
      </c>
      <c r="K534" s="1">
        <f t="shared" si="71"/>
        <v>80</v>
      </c>
      <c r="L534" s="1"/>
      <c r="M534" s="3"/>
      <c r="N534" s="3"/>
      <c r="O534" s="3"/>
      <c r="P534" s="3"/>
      <c r="Q534" s="3"/>
      <c r="R534" s="1"/>
    </row>
    <row r="535" spans="2:18" x14ac:dyDescent="0.2">
      <c r="B535">
        <v>523</v>
      </c>
      <c r="C535" s="1">
        <v>5.3041115735407728E-2</v>
      </c>
      <c r="D535" s="1">
        <f t="shared" si="65"/>
        <v>90.64899544297748</v>
      </c>
      <c r="E535" s="18">
        <f t="shared" si="64"/>
        <v>-10.64899544297748</v>
      </c>
      <c r="F535" s="1">
        <f t="shared" si="70"/>
        <v>80</v>
      </c>
      <c r="G535" s="9">
        <f t="shared" si="66"/>
        <v>0</v>
      </c>
      <c r="H535" s="9">
        <f t="shared" si="67"/>
        <v>80</v>
      </c>
      <c r="I535" s="9">
        <f t="shared" si="68"/>
        <v>0</v>
      </c>
      <c r="J535" s="9">
        <f t="shared" si="69"/>
        <v>0</v>
      </c>
      <c r="K535" s="1">
        <f t="shared" si="71"/>
        <v>80</v>
      </c>
      <c r="L535" s="1"/>
      <c r="M535" s="3"/>
      <c r="N535" s="3"/>
      <c r="O535" s="3"/>
      <c r="P535" s="3"/>
      <c r="Q535" s="3"/>
      <c r="R535" s="1"/>
    </row>
    <row r="536" spans="2:18" x14ac:dyDescent="0.2">
      <c r="B536">
        <v>524</v>
      </c>
      <c r="C536" s="1">
        <v>5.5094802462434755E-2</v>
      </c>
      <c r="D536" s="1">
        <f t="shared" si="65"/>
        <v>90.760763072800771</v>
      </c>
      <c r="E536" s="18">
        <f t="shared" si="64"/>
        <v>-10.760763072800771</v>
      </c>
      <c r="F536" s="1">
        <f t="shared" si="70"/>
        <v>80</v>
      </c>
      <c r="G536" s="9">
        <f t="shared" si="66"/>
        <v>0</v>
      </c>
      <c r="H536" s="9">
        <f t="shared" si="67"/>
        <v>80</v>
      </c>
      <c r="I536" s="9">
        <f t="shared" si="68"/>
        <v>0</v>
      </c>
      <c r="J536" s="9">
        <f t="shared" si="69"/>
        <v>0</v>
      </c>
      <c r="K536" s="1">
        <f t="shared" si="71"/>
        <v>80</v>
      </c>
      <c r="L536" s="1"/>
      <c r="M536" s="3"/>
      <c r="N536" s="3"/>
      <c r="O536" s="3"/>
      <c r="P536" s="3"/>
      <c r="Q536" s="3"/>
      <c r="R536" s="1"/>
    </row>
    <row r="537" spans="2:18" x14ac:dyDescent="0.2">
      <c r="B537">
        <v>525</v>
      </c>
      <c r="C537" s="1">
        <v>5.7111169356850851E-2</v>
      </c>
      <c r="D537" s="1">
        <f t="shared" si="65"/>
        <v>90.870633720043514</v>
      </c>
      <c r="E537" s="18">
        <f t="shared" si="64"/>
        <v>-10.870633720043514</v>
      </c>
      <c r="F537" s="1">
        <f t="shared" si="70"/>
        <v>80</v>
      </c>
      <c r="G537" s="9">
        <f t="shared" si="66"/>
        <v>0</v>
      </c>
      <c r="H537" s="9">
        <f t="shared" si="67"/>
        <v>80</v>
      </c>
      <c r="I537" s="9">
        <f t="shared" si="68"/>
        <v>0</v>
      </c>
      <c r="J537" s="9">
        <f t="shared" si="69"/>
        <v>0</v>
      </c>
      <c r="K537" s="1">
        <f t="shared" si="71"/>
        <v>80</v>
      </c>
      <c r="L537" s="1"/>
      <c r="M537" s="3"/>
      <c r="N537" s="3"/>
      <c r="O537" s="3"/>
      <c r="P537" s="3"/>
      <c r="Q537" s="3"/>
      <c r="R537" s="1"/>
    </row>
    <row r="538" spans="2:18" x14ac:dyDescent="0.2">
      <c r="B538">
        <v>526</v>
      </c>
      <c r="C538" s="1">
        <v>5.7840491975671329E-2</v>
      </c>
      <c r="D538" s="1">
        <f t="shared" si="65"/>
        <v>90.91040682677189</v>
      </c>
      <c r="E538" s="18">
        <f t="shared" si="64"/>
        <v>-10.91040682677189</v>
      </c>
      <c r="F538" s="1">
        <f t="shared" si="70"/>
        <v>80</v>
      </c>
      <c r="G538" s="9">
        <f t="shared" si="66"/>
        <v>0</v>
      </c>
      <c r="H538" s="9">
        <f t="shared" si="67"/>
        <v>80</v>
      </c>
      <c r="I538" s="9">
        <f t="shared" si="68"/>
        <v>0</v>
      </c>
      <c r="J538" s="9">
        <f t="shared" si="69"/>
        <v>0</v>
      </c>
      <c r="K538" s="1">
        <f t="shared" si="71"/>
        <v>80</v>
      </c>
      <c r="L538" s="1"/>
      <c r="M538" s="3"/>
      <c r="N538" s="3"/>
      <c r="O538" s="3"/>
      <c r="P538" s="3"/>
      <c r="Q538" s="3"/>
      <c r="R538" s="1"/>
    </row>
    <row r="539" spans="2:18" x14ac:dyDescent="0.2">
      <c r="B539">
        <v>527</v>
      </c>
      <c r="C539" s="1">
        <v>6.5851082542620926E-2</v>
      </c>
      <c r="D539" s="1">
        <f t="shared" si="65"/>
        <v>91.348406202103149</v>
      </c>
      <c r="E539" s="18">
        <f t="shared" si="64"/>
        <v>-11.348406202103149</v>
      </c>
      <c r="F539" s="1">
        <f t="shared" si="70"/>
        <v>80</v>
      </c>
      <c r="G539" s="9">
        <f t="shared" si="66"/>
        <v>0</v>
      </c>
      <c r="H539" s="9">
        <f t="shared" si="67"/>
        <v>80</v>
      </c>
      <c r="I539" s="9">
        <f t="shared" si="68"/>
        <v>0</v>
      </c>
      <c r="J539" s="9">
        <f t="shared" si="69"/>
        <v>0</v>
      </c>
      <c r="K539" s="1">
        <f t="shared" si="71"/>
        <v>80</v>
      </c>
      <c r="L539" s="1"/>
      <c r="M539" s="3"/>
      <c r="N539" s="3"/>
      <c r="O539" s="3"/>
      <c r="P539" s="3"/>
      <c r="Q539" s="3"/>
      <c r="R539" s="1"/>
    </row>
    <row r="540" spans="2:18" x14ac:dyDescent="0.2">
      <c r="B540">
        <v>528</v>
      </c>
      <c r="C540" s="1">
        <v>7.0159270280362923E-2</v>
      </c>
      <c r="D540" s="1">
        <f t="shared" si="65"/>
        <v>91.584839299983017</v>
      </c>
      <c r="E540" s="18">
        <f t="shared" si="64"/>
        <v>-11.584839299983017</v>
      </c>
      <c r="F540" s="1">
        <f t="shared" si="70"/>
        <v>80</v>
      </c>
      <c r="G540" s="9">
        <f t="shared" si="66"/>
        <v>0</v>
      </c>
      <c r="H540" s="9">
        <f t="shared" si="67"/>
        <v>80</v>
      </c>
      <c r="I540" s="9">
        <f t="shared" si="68"/>
        <v>0</v>
      </c>
      <c r="J540" s="9">
        <f t="shared" si="69"/>
        <v>0</v>
      </c>
      <c r="K540" s="1">
        <f t="shared" si="71"/>
        <v>80</v>
      </c>
      <c r="L540" s="1"/>
      <c r="M540" s="3"/>
      <c r="N540" s="3"/>
      <c r="O540" s="3"/>
      <c r="P540" s="3"/>
      <c r="Q540" s="3"/>
      <c r="R540" s="1"/>
    </row>
    <row r="541" spans="2:18" x14ac:dyDescent="0.2">
      <c r="B541">
        <v>529</v>
      </c>
      <c r="C541" s="1">
        <v>7.0374074575034723E-2</v>
      </c>
      <c r="D541" s="1">
        <f t="shared" si="65"/>
        <v>91.59664375074577</v>
      </c>
      <c r="E541" s="18">
        <f t="shared" si="64"/>
        <v>-11.59664375074577</v>
      </c>
      <c r="F541" s="1">
        <f t="shared" si="70"/>
        <v>80</v>
      </c>
      <c r="G541" s="9">
        <f t="shared" si="66"/>
        <v>0</v>
      </c>
      <c r="H541" s="9">
        <f t="shared" si="67"/>
        <v>80</v>
      </c>
      <c r="I541" s="9">
        <f t="shared" si="68"/>
        <v>0</v>
      </c>
      <c r="J541" s="9">
        <f t="shared" si="69"/>
        <v>0</v>
      </c>
      <c r="K541" s="1">
        <f t="shared" si="71"/>
        <v>80</v>
      </c>
      <c r="L541" s="1"/>
      <c r="M541" s="3"/>
      <c r="N541" s="3"/>
      <c r="O541" s="3"/>
      <c r="P541" s="3"/>
      <c r="Q541" s="3"/>
      <c r="R541" s="1"/>
    </row>
    <row r="542" spans="2:18" x14ac:dyDescent="0.2">
      <c r="B542">
        <v>530</v>
      </c>
      <c r="C542" s="1">
        <v>7.2348949487027303E-2</v>
      </c>
      <c r="D542" s="1">
        <f t="shared" si="65"/>
        <v>91.705243227413433</v>
      </c>
      <c r="E542" s="18">
        <f t="shared" si="64"/>
        <v>-11.705243227413433</v>
      </c>
      <c r="F542" s="1">
        <f t="shared" si="70"/>
        <v>80</v>
      </c>
      <c r="G542" s="9">
        <f t="shared" si="66"/>
        <v>0</v>
      </c>
      <c r="H542" s="9">
        <f t="shared" si="67"/>
        <v>80</v>
      </c>
      <c r="I542" s="9">
        <f t="shared" si="68"/>
        <v>0</v>
      </c>
      <c r="J542" s="9">
        <f t="shared" si="69"/>
        <v>0</v>
      </c>
      <c r="K542" s="1">
        <f t="shared" si="71"/>
        <v>80</v>
      </c>
      <c r="L542" s="1"/>
      <c r="M542" s="3"/>
      <c r="N542" s="3"/>
      <c r="O542" s="3"/>
      <c r="P542" s="3"/>
      <c r="Q542" s="3"/>
      <c r="R542" s="1"/>
    </row>
    <row r="543" spans="2:18" x14ac:dyDescent="0.2">
      <c r="B543">
        <v>531</v>
      </c>
      <c r="C543" s="1">
        <v>8.0901426525585851E-2</v>
      </c>
      <c r="D543" s="1">
        <f t="shared" si="65"/>
        <v>92.177036885674895</v>
      </c>
      <c r="E543" s="18">
        <f t="shared" si="64"/>
        <v>-12.177036885674895</v>
      </c>
      <c r="F543" s="1">
        <f t="shared" si="70"/>
        <v>80</v>
      </c>
      <c r="G543" s="9">
        <f t="shared" si="66"/>
        <v>0</v>
      </c>
      <c r="H543" s="9">
        <f t="shared" si="67"/>
        <v>80</v>
      </c>
      <c r="I543" s="9">
        <f t="shared" si="68"/>
        <v>0</v>
      </c>
      <c r="J543" s="9">
        <f t="shared" si="69"/>
        <v>0</v>
      </c>
      <c r="K543" s="1">
        <f t="shared" si="71"/>
        <v>80</v>
      </c>
      <c r="L543" s="1"/>
      <c r="M543" s="3"/>
      <c r="N543" s="3"/>
      <c r="O543" s="3"/>
      <c r="P543" s="3"/>
      <c r="Q543" s="3"/>
      <c r="R543" s="1"/>
    </row>
    <row r="544" spans="2:18" x14ac:dyDescent="0.2">
      <c r="B544">
        <v>532</v>
      </c>
      <c r="C544" s="1">
        <v>8.124082367185595E-2</v>
      </c>
      <c r="D544" s="1">
        <f t="shared" si="65"/>
        <v>92.195809570991145</v>
      </c>
      <c r="E544" s="18">
        <f t="shared" si="64"/>
        <v>-12.195809570991145</v>
      </c>
      <c r="F544" s="1">
        <f t="shared" si="70"/>
        <v>80</v>
      </c>
      <c r="G544" s="9">
        <f t="shared" si="66"/>
        <v>0</v>
      </c>
      <c r="H544" s="9">
        <f t="shared" si="67"/>
        <v>80</v>
      </c>
      <c r="I544" s="9">
        <f t="shared" si="68"/>
        <v>0</v>
      </c>
      <c r="J544" s="9">
        <f t="shared" si="69"/>
        <v>0</v>
      </c>
      <c r="K544" s="1">
        <f t="shared" si="71"/>
        <v>80</v>
      </c>
      <c r="L544" s="1"/>
      <c r="M544" s="3"/>
      <c r="N544" s="3"/>
      <c r="O544" s="3"/>
      <c r="P544" s="3"/>
      <c r="Q544" s="3"/>
      <c r="R544" s="1"/>
    </row>
    <row r="545" spans="2:18" x14ac:dyDescent="0.2">
      <c r="B545">
        <v>533</v>
      </c>
      <c r="C545" s="1">
        <v>8.4147986944678579E-2</v>
      </c>
      <c r="D545" s="1">
        <f t="shared" si="65"/>
        <v>92.356766871822572</v>
      </c>
      <c r="E545" s="18">
        <f t="shared" si="64"/>
        <v>-12.356766871822572</v>
      </c>
      <c r="F545" s="1">
        <f t="shared" si="70"/>
        <v>80</v>
      </c>
      <c r="G545" s="9">
        <f t="shared" si="66"/>
        <v>0</v>
      </c>
      <c r="H545" s="9">
        <f t="shared" si="67"/>
        <v>80</v>
      </c>
      <c r="I545" s="9">
        <f t="shared" si="68"/>
        <v>0</v>
      </c>
      <c r="J545" s="9">
        <f t="shared" si="69"/>
        <v>0</v>
      </c>
      <c r="K545" s="1">
        <f t="shared" si="71"/>
        <v>80</v>
      </c>
      <c r="L545" s="1"/>
      <c r="M545" s="3"/>
      <c r="N545" s="3"/>
      <c r="O545" s="3"/>
      <c r="P545" s="3"/>
      <c r="Q545" s="3"/>
      <c r="R545" s="1"/>
    </row>
    <row r="546" spans="2:18" x14ac:dyDescent="0.2">
      <c r="B546">
        <v>534</v>
      </c>
      <c r="C546" s="1">
        <v>8.6200781122503678E-2</v>
      </c>
      <c r="D546" s="1">
        <f t="shared" si="65"/>
        <v>92.470590614438265</v>
      </c>
      <c r="E546" s="18">
        <f t="shared" si="64"/>
        <v>-12.470590614438265</v>
      </c>
      <c r="F546" s="1">
        <f t="shared" si="70"/>
        <v>80</v>
      </c>
      <c r="G546" s="9">
        <f t="shared" si="66"/>
        <v>0</v>
      </c>
      <c r="H546" s="9">
        <f t="shared" si="67"/>
        <v>80</v>
      </c>
      <c r="I546" s="9">
        <f t="shared" si="68"/>
        <v>0</v>
      </c>
      <c r="J546" s="9">
        <f t="shared" si="69"/>
        <v>0</v>
      </c>
      <c r="K546" s="1">
        <f t="shared" si="71"/>
        <v>80</v>
      </c>
      <c r="L546" s="1"/>
      <c r="M546" s="3"/>
      <c r="N546" s="3"/>
      <c r="O546" s="3"/>
      <c r="P546" s="3"/>
      <c r="Q546" s="3"/>
      <c r="R546" s="1"/>
    </row>
    <row r="547" spans="2:18" x14ac:dyDescent="0.2">
      <c r="B547">
        <v>535</v>
      </c>
      <c r="C547" s="1">
        <v>8.9710433852493568E-2</v>
      </c>
      <c r="D547" s="1">
        <f t="shared" si="65"/>
        <v>92.665519578773996</v>
      </c>
      <c r="E547" s="18">
        <f t="shared" si="64"/>
        <v>-12.665519578773996</v>
      </c>
      <c r="F547" s="1">
        <f t="shared" si="70"/>
        <v>80</v>
      </c>
      <c r="G547" s="9">
        <f t="shared" si="66"/>
        <v>0</v>
      </c>
      <c r="H547" s="9">
        <f t="shared" si="67"/>
        <v>80</v>
      </c>
      <c r="I547" s="9">
        <f t="shared" si="68"/>
        <v>0</v>
      </c>
      <c r="J547" s="9">
        <f t="shared" si="69"/>
        <v>0</v>
      </c>
      <c r="K547" s="1">
        <f t="shared" si="71"/>
        <v>80</v>
      </c>
      <c r="L547" s="1"/>
      <c r="M547" s="3"/>
      <c r="N547" s="3"/>
      <c r="O547" s="3"/>
      <c r="P547" s="3"/>
      <c r="Q547" s="3"/>
      <c r="R547" s="1"/>
    </row>
    <row r="548" spans="2:18" x14ac:dyDescent="0.2">
      <c r="B548">
        <v>536</v>
      </c>
      <c r="C548" s="1">
        <v>9.1218515328914437E-2</v>
      </c>
      <c r="D548" s="1">
        <f t="shared" si="65"/>
        <v>92.749405817383064</v>
      </c>
      <c r="E548" s="18">
        <f t="shared" si="64"/>
        <v>-12.749405817383064</v>
      </c>
      <c r="F548" s="1">
        <f t="shared" si="70"/>
        <v>80</v>
      </c>
      <c r="G548" s="9">
        <f t="shared" si="66"/>
        <v>0</v>
      </c>
      <c r="H548" s="9">
        <f t="shared" si="67"/>
        <v>80</v>
      </c>
      <c r="I548" s="9">
        <f t="shared" si="68"/>
        <v>0</v>
      </c>
      <c r="J548" s="9">
        <f t="shared" si="69"/>
        <v>0</v>
      </c>
      <c r="K548" s="1">
        <f t="shared" si="71"/>
        <v>80</v>
      </c>
      <c r="L548" s="1"/>
      <c r="M548" s="3"/>
      <c r="N548" s="3"/>
      <c r="O548" s="3"/>
      <c r="P548" s="3"/>
      <c r="Q548" s="3"/>
      <c r="R548" s="1"/>
    </row>
    <row r="549" spans="2:18" x14ac:dyDescent="0.2">
      <c r="B549">
        <v>537</v>
      </c>
      <c r="C549" s="1">
        <v>9.1306783853081316E-2</v>
      </c>
      <c r="D549" s="1">
        <f t="shared" si="65"/>
        <v>92.754318059362134</v>
      </c>
      <c r="E549" s="18">
        <f t="shared" si="64"/>
        <v>-12.754318059362134</v>
      </c>
      <c r="F549" s="1">
        <f t="shared" si="70"/>
        <v>80</v>
      </c>
      <c r="G549" s="9">
        <f t="shared" si="66"/>
        <v>0</v>
      </c>
      <c r="H549" s="9">
        <f t="shared" si="67"/>
        <v>80</v>
      </c>
      <c r="I549" s="9">
        <f t="shared" si="68"/>
        <v>0</v>
      </c>
      <c r="J549" s="9">
        <f t="shared" si="69"/>
        <v>0</v>
      </c>
      <c r="K549" s="1">
        <f t="shared" si="71"/>
        <v>80</v>
      </c>
      <c r="L549" s="1"/>
      <c r="M549" s="3"/>
      <c r="N549" s="3"/>
      <c r="O549" s="3"/>
      <c r="P549" s="3"/>
      <c r="Q549" s="3"/>
      <c r="R549" s="1"/>
    </row>
    <row r="550" spans="2:18" x14ac:dyDescent="0.2">
      <c r="B550">
        <v>538</v>
      </c>
      <c r="C550" s="1">
        <v>9.3998118756034685E-2</v>
      </c>
      <c r="D550" s="1">
        <f t="shared" si="65"/>
        <v>92.904218816886825</v>
      </c>
      <c r="E550" s="18">
        <f t="shared" si="64"/>
        <v>-12.904218816886825</v>
      </c>
      <c r="F550" s="1">
        <f t="shared" si="70"/>
        <v>80</v>
      </c>
      <c r="G550" s="9">
        <f t="shared" si="66"/>
        <v>0</v>
      </c>
      <c r="H550" s="9">
        <f t="shared" si="67"/>
        <v>80</v>
      </c>
      <c r="I550" s="9">
        <f t="shared" si="68"/>
        <v>0</v>
      </c>
      <c r="J550" s="9">
        <f t="shared" si="69"/>
        <v>0</v>
      </c>
      <c r="K550" s="1">
        <f t="shared" si="71"/>
        <v>80</v>
      </c>
      <c r="L550" s="1"/>
      <c r="M550" s="3"/>
      <c r="N550" s="3"/>
      <c r="O550" s="3"/>
      <c r="P550" s="3"/>
      <c r="Q550" s="3"/>
      <c r="R550" s="1"/>
    </row>
    <row r="551" spans="2:18" x14ac:dyDescent="0.2">
      <c r="B551">
        <v>539</v>
      </c>
      <c r="C551" s="1">
        <v>9.44927149811155E-2</v>
      </c>
      <c r="D551" s="1">
        <f t="shared" si="65"/>
        <v>92.931792953656185</v>
      </c>
      <c r="E551" s="18">
        <f t="shared" si="64"/>
        <v>-12.931792953656185</v>
      </c>
      <c r="F551" s="1">
        <f t="shared" si="70"/>
        <v>80</v>
      </c>
      <c r="G551" s="9">
        <f t="shared" si="66"/>
        <v>0</v>
      </c>
      <c r="H551" s="9">
        <f t="shared" si="67"/>
        <v>80</v>
      </c>
      <c r="I551" s="9">
        <f t="shared" si="68"/>
        <v>0</v>
      </c>
      <c r="J551" s="9">
        <f t="shared" si="69"/>
        <v>0</v>
      </c>
      <c r="K551" s="1">
        <f t="shared" si="71"/>
        <v>80</v>
      </c>
      <c r="L551" s="1"/>
      <c r="M551" s="3"/>
      <c r="N551" s="3"/>
      <c r="O551" s="3"/>
      <c r="P551" s="3"/>
      <c r="Q551" s="3"/>
      <c r="R551" s="1"/>
    </row>
    <row r="552" spans="2:18" x14ac:dyDescent="0.2">
      <c r="B552">
        <v>540</v>
      </c>
      <c r="C552" s="1">
        <v>9.5204536572656026E-2</v>
      </c>
      <c r="D552" s="1">
        <f t="shared" si="65"/>
        <v>92.971491944691437</v>
      </c>
      <c r="E552" s="18">
        <f t="shared" si="64"/>
        <v>-12.971491944691437</v>
      </c>
      <c r="F552" s="1">
        <f t="shared" si="70"/>
        <v>80</v>
      </c>
      <c r="G552" s="9">
        <f t="shared" si="66"/>
        <v>0</v>
      </c>
      <c r="H552" s="9">
        <f t="shared" si="67"/>
        <v>80</v>
      </c>
      <c r="I552" s="9">
        <f t="shared" si="68"/>
        <v>0</v>
      </c>
      <c r="J552" s="9">
        <f t="shared" si="69"/>
        <v>0</v>
      </c>
      <c r="K552" s="1">
        <f t="shared" si="71"/>
        <v>80</v>
      </c>
      <c r="L552" s="1"/>
      <c r="M552" s="3"/>
      <c r="N552" s="3"/>
      <c r="O552" s="3"/>
      <c r="P552" s="3"/>
      <c r="Q552" s="3"/>
      <c r="R552" s="1"/>
    </row>
    <row r="553" spans="2:18" x14ac:dyDescent="0.2">
      <c r="B553">
        <v>541</v>
      </c>
      <c r="C553" s="1">
        <v>9.5467629572183299E-2</v>
      </c>
      <c r="D553" s="1">
        <f t="shared" si="65"/>
        <v>92.986169192317035</v>
      </c>
      <c r="E553" s="18">
        <f t="shared" si="64"/>
        <v>-12.986169192317035</v>
      </c>
      <c r="F553" s="1">
        <f t="shared" si="70"/>
        <v>80</v>
      </c>
      <c r="G553" s="9">
        <f t="shared" si="66"/>
        <v>0</v>
      </c>
      <c r="H553" s="9">
        <f t="shared" si="67"/>
        <v>80</v>
      </c>
      <c r="I553" s="9">
        <f t="shared" si="68"/>
        <v>0</v>
      </c>
      <c r="J553" s="9">
        <f t="shared" si="69"/>
        <v>0</v>
      </c>
      <c r="K553" s="1">
        <f t="shared" si="71"/>
        <v>80</v>
      </c>
      <c r="L553" s="1"/>
      <c r="M553" s="3"/>
      <c r="N553" s="3"/>
      <c r="O553" s="3"/>
      <c r="P553" s="3"/>
      <c r="Q553" s="3"/>
      <c r="R553" s="1"/>
    </row>
    <row r="554" spans="2:18" x14ac:dyDescent="0.2">
      <c r="B554">
        <v>542</v>
      </c>
      <c r="C554" s="1">
        <v>9.5924440535520406E-2</v>
      </c>
      <c r="D554" s="1">
        <f t="shared" si="65"/>
        <v>93.011658946272632</v>
      </c>
      <c r="E554" s="18">
        <f t="shared" si="64"/>
        <v>-13.011658946272632</v>
      </c>
      <c r="F554" s="1">
        <f t="shared" si="70"/>
        <v>80</v>
      </c>
      <c r="G554" s="9">
        <f t="shared" si="66"/>
        <v>0</v>
      </c>
      <c r="H554" s="9">
        <f t="shared" si="67"/>
        <v>80</v>
      </c>
      <c r="I554" s="9">
        <f t="shared" si="68"/>
        <v>0</v>
      </c>
      <c r="J554" s="9">
        <f t="shared" si="69"/>
        <v>0</v>
      </c>
      <c r="K554" s="1">
        <f t="shared" si="71"/>
        <v>80</v>
      </c>
      <c r="L554" s="1"/>
      <c r="M554" s="3"/>
      <c r="N554" s="3"/>
      <c r="O554" s="3"/>
      <c r="P554" s="3"/>
      <c r="Q554" s="3"/>
      <c r="R554" s="1"/>
    </row>
    <row r="555" spans="2:18" x14ac:dyDescent="0.2">
      <c r="B555">
        <v>543</v>
      </c>
      <c r="C555" s="1">
        <v>9.7846275874094849E-2</v>
      </c>
      <c r="D555" s="1">
        <f t="shared" si="65"/>
        <v>93.118972662006698</v>
      </c>
      <c r="E555" s="18">
        <f t="shared" si="64"/>
        <v>-13.118972662006698</v>
      </c>
      <c r="F555" s="1">
        <f t="shared" si="70"/>
        <v>80</v>
      </c>
      <c r="G555" s="9">
        <f t="shared" si="66"/>
        <v>0</v>
      </c>
      <c r="H555" s="9">
        <f t="shared" si="67"/>
        <v>80</v>
      </c>
      <c r="I555" s="9">
        <f t="shared" si="68"/>
        <v>0</v>
      </c>
      <c r="J555" s="9">
        <f t="shared" si="69"/>
        <v>0</v>
      </c>
      <c r="K555" s="1">
        <f t="shared" si="71"/>
        <v>80</v>
      </c>
      <c r="L555" s="1"/>
      <c r="M555" s="3"/>
      <c r="N555" s="3"/>
      <c r="O555" s="3"/>
      <c r="P555" s="3"/>
      <c r="Q555" s="3"/>
      <c r="R555" s="1"/>
    </row>
    <row r="556" spans="2:18" x14ac:dyDescent="0.2">
      <c r="B556">
        <v>544</v>
      </c>
      <c r="C556" s="1">
        <v>0.1037462108145201</v>
      </c>
      <c r="D556" s="1">
        <f t="shared" si="65"/>
        <v>93.4491943313284</v>
      </c>
      <c r="E556" s="18">
        <f t="shared" si="64"/>
        <v>-13.4491943313284</v>
      </c>
      <c r="F556" s="1">
        <f t="shared" si="70"/>
        <v>80</v>
      </c>
      <c r="G556" s="9">
        <f t="shared" si="66"/>
        <v>0</v>
      </c>
      <c r="H556" s="9">
        <f t="shared" si="67"/>
        <v>80</v>
      </c>
      <c r="I556" s="9">
        <f t="shared" si="68"/>
        <v>0</v>
      </c>
      <c r="J556" s="9">
        <f t="shared" si="69"/>
        <v>0</v>
      </c>
      <c r="K556" s="1">
        <f t="shared" si="71"/>
        <v>80</v>
      </c>
      <c r="L556" s="1"/>
      <c r="M556" s="3"/>
      <c r="N556" s="3"/>
      <c r="O556" s="3"/>
      <c r="P556" s="3"/>
      <c r="Q556" s="3"/>
      <c r="R556" s="1"/>
    </row>
    <row r="557" spans="2:18" x14ac:dyDescent="0.2">
      <c r="B557">
        <v>545</v>
      </c>
      <c r="C557" s="1">
        <v>0.10587371250837452</v>
      </c>
      <c r="D557" s="1">
        <f t="shared" si="65"/>
        <v>93.568558490893224</v>
      </c>
      <c r="E557" s="18">
        <f t="shared" si="64"/>
        <v>-13.568558490893224</v>
      </c>
      <c r="F557" s="1">
        <f t="shared" si="70"/>
        <v>80</v>
      </c>
      <c r="G557" s="9">
        <f t="shared" si="66"/>
        <v>0</v>
      </c>
      <c r="H557" s="9">
        <f t="shared" si="67"/>
        <v>80</v>
      </c>
      <c r="I557" s="9">
        <f t="shared" si="68"/>
        <v>0</v>
      </c>
      <c r="J557" s="9">
        <f t="shared" si="69"/>
        <v>0</v>
      </c>
      <c r="K557" s="1">
        <f t="shared" si="71"/>
        <v>80</v>
      </c>
      <c r="L557" s="1"/>
      <c r="M557" s="3"/>
      <c r="N557" s="3"/>
      <c r="O557" s="3"/>
      <c r="P557" s="3"/>
      <c r="Q557" s="3"/>
      <c r="R557" s="1"/>
    </row>
    <row r="558" spans="2:18" x14ac:dyDescent="0.2">
      <c r="B558">
        <v>546</v>
      </c>
      <c r="C558" s="1">
        <v>0.10929934205949864</v>
      </c>
      <c r="D558" s="1">
        <f t="shared" si="65"/>
        <v>93.761075001606116</v>
      </c>
      <c r="E558" s="18">
        <f t="shared" si="64"/>
        <v>-13.761075001606116</v>
      </c>
      <c r="F558" s="1">
        <f t="shared" si="70"/>
        <v>80</v>
      </c>
      <c r="G558" s="9">
        <f t="shared" si="66"/>
        <v>0</v>
      </c>
      <c r="H558" s="9">
        <f t="shared" si="67"/>
        <v>80</v>
      </c>
      <c r="I558" s="9">
        <f t="shared" si="68"/>
        <v>0</v>
      </c>
      <c r="J558" s="9">
        <f t="shared" si="69"/>
        <v>0</v>
      </c>
      <c r="K558" s="1">
        <f t="shared" si="71"/>
        <v>80</v>
      </c>
      <c r="L558" s="1"/>
      <c r="M558" s="3"/>
      <c r="N558" s="3"/>
      <c r="O558" s="3"/>
      <c r="P558" s="3"/>
      <c r="Q558" s="3"/>
      <c r="R558" s="1"/>
    </row>
    <row r="559" spans="2:18" x14ac:dyDescent="0.2">
      <c r="B559">
        <v>547</v>
      </c>
      <c r="C559" s="1">
        <v>0.11022133719140037</v>
      </c>
      <c r="D559" s="1">
        <f t="shared" si="65"/>
        <v>93.812957703790644</v>
      </c>
      <c r="E559" s="18">
        <f t="shared" si="64"/>
        <v>-13.812957703790644</v>
      </c>
      <c r="F559" s="1">
        <f t="shared" si="70"/>
        <v>80</v>
      </c>
      <c r="G559" s="9">
        <f t="shared" si="66"/>
        <v>0</v>
      </c>
      <c r="H559" s="9">
        <f t="shared" si="67"/>
        <v>80</v>
      </c>
      <c r="I559" s="9">
        <f t="shared" si="68"/>
        <v>0</v>
      </c>
      <c r="J559" s="9">
        <f t="shared" si="69"/>
        <v>0</v>
      </c>
      <c r="K559" s="1">
        <f t="shared" si="71"/>
        <v>80</v>
      </c>
      <c r="L559" s="1"/>
      <c r="M559" s="3"/>
      <c r="N559" s="3"/>
      <c r="O559" s="3"/>
      <c r="P559" s="3"/>
      <c r="Q559" s="3"/>
      <c r="R559" s="1"/>
    </row>
    <row r="560" spans="2:18" x14ac:dyDescent="0.2">
      <c r="B560">
        <v>548</v>
      </c>
      <c r="C560" s="1">
        <v>0.11677006751049313</v>
      </c>
      <c r="D560" s="1">
        <f t="shared" si="65"/>
        <v>94.182296294519858</v>
      </c>
      <c r="E560" s="18">
        <f t="shared" si="64"/>
        <v>-14.182296294519858</v>
      </c>
      <c r="F560" s="1">
        <f t="shared" si="70"/>
        <v>80</v>
      </c>
      <c r="G560" s="9">
        <f t="shared" si="66"/>
        <v>0</v>
      </c>
      <c r="H560" s="9">
        <f t="shared" si="67"/>
        <v>80</v>
      </c>
      <c r="I560" s="9">
        <f t="shared" si="68"/>
        <v>0</v>
      </c>
      <c r="J560" s="9">
        <f t="shared" si="69"/>
        <v>0</v>
      </c>
      <c r="K560" s="1">
        <f t="shared" si="71"/>
        <v>80</v>
      </c>
      <c r="L560" s="1"/>
      <c r="M560" s="3"/>
      <c r="N560" s="3"/>
      <c r="O560" s="3"/>
      <c r="P560" s="3"/>
      <c r="Q560" s="3"/>
      <c r="R560" s="1"/>
    </row>
    <row r="561" spans="2:18" x14ac:dyDescent="0.2">
      <c r="B561">
        <v>549</v>
      </c>
      <c r="C561" s="1">
        <v>0.11782312788669222</v>
      </c>
      <c r="D561" s="1">
        <f t="shared" si="65"/>
        <v>94.241822884687878</v>
      </c>
      <c r="E561" s="18">
        <f t="shared" si="64"/>
        <v>-14.241822884687878</v>
      </c>
      <c r="F561" s="1">
        <f t="shared" si="70"/>
        <v>80</v>
      </c>
      <c r="G561" s="9">
        <f t="shared" si="66"/>
        <v>0</v>
      </c>
      <c r="H561" s="9">
        <f t="shared" si="67"/>
        <v>80</v>
      </c>
      <c r="I561" s="9">
        <f t="shared" si="68"/>
        <v>0</v>
      </c>
      <c r="J561" s="9">
        <f t="shared" si="69"/>
        <v>0</v>
      </c>
      <c r="K561" s="1">
        <f t="shared" si="71"/>
        <v>80</v>
      </c>
      <c r="L561" s="1"/>
      <c r="M561" s="3"/>
      <c r="N561" s="3"/>
      <c r="O561" s="3"/>
      <c r="P561" s="3"/>
      <c r="Q561" s="3"/>
      <c r="R561" s="1"/>
    </row>
    <row r="562" spans="2:18" x14ac:dyDescent="0.2">
      <c r="B562">
        <v>550</v>
      </c>
      <c r="C562" s="1">
        <v>0.12010232452882511</v>
      </c>
      <c r="D562" s="1">
        <f t="shared" si="65"/>
        <v>94.370788433703851</v>
      </c>
      <c r="E562" s="18">
        <f t="shared" si="64"/>
        <v>-14.370788433703851</v>
      </c>
      <c r="F562" s="1">
        <f t="shared" si="70"/>
        <v>80</v>
      </c>
      <c r="G562" s="9">
        <f t="shared" si="66"/>
        <v>0</v>
      </c>
      <c r="H562" s="9">
        <f t="shared" si="67"/>
        <v>80</v>
      </c>
      <c r="I562" s="9">
        <f t="shared" si="68"/>
        <v>0</v>
      </c>
      <c r="J562" s="9">
        <f t="shared" si="69"/>
        <v>0</v>
      </c>
      <c r="K562" s="1">
        <f t="shared" si="71"/>
        <v>80</v>
      </c>
      <c r="L562" s="1"/>
      <c r="M562" s="3"/>
      <c r="N562" s="3"/>
      <c r="O562" s="3"/>
      <c r="P562" s="3"/>
      <c r="Q562" s="3"/>
      <c r="R562" s="1"/>
    </row>
    <row r="563" spans="2:18" x14ac:dyDescent="0.2">
      <c r="B563">
        <v>551</v>
      </c>
      <c r="C563" s="1">
        <v>0.12015187163467855</v>
      </c>
      <c r="D563" s="1">
        <f t="shared" si="65"/>
        <v>94.373593955071684</v>
      </c>
      <c r="E563" s="18">
        <f t="shared" si="64"/>
        <v>-14.373593955071684</v>
      </c>
      <c r="F563" s="1">
        <f t="shared" si="70"/>
        <v>80</v>
      </c>
      <c r="G563" s="9">
        <f t="shared" si="66"/>
        <v>0</v>
      </c>
      <c r="H563" s="9">
        <f t="shared" si="67"/>
        <v>80</v>
      </c>
      <c r="I563" s="9">
        <f t="shared" si="68"/>
        <v>0</v>
      </c>
      <c r="J563" s="9">
        <f t="shared" si="69"/>
        <v>0</v>
      </c>
      <c r="K563" s="1">
        <f t="shared" si="71"/>
        <v>80</v>
      </c>
      <c r="L563" s="1"/>
      <c r="M563" s="3"/>
      <c r="N563" s="3"/>
      <c r="O563" s="3"/>
      <c r="P563" s="3"/>
      <c r="Q563" s="3"/>
      <c r="R563" s="1"/>
    </row>
    <row r="564" spans="2:18" x14ac:dyDescent="0.2">
      <c r="B564">
        <v>552</v>
      </c>
      <c r="C564" s="1">
        <v>0.12530116997421589</v>
      </c>
      <c r="D564" s="1">
        <f t="shared" si="65"/>
        <v>94.665619515186549</v>
      </c>
      <c r="E564" s="18">
        <f t="shared" si="64"/>
        <v>-14.665619515186549</v>
      </c>
      <c r="F564" s="1">
        <f t="shared" si="70"/>
        <v>80</v>
      </c>
      <c r="G564" s="9">
        <f t="shared" si="66"/>
        <v>0</v>
      </c>
      <c r="H564" s="9">
        <f t="shared" si="67"/>
        <v>80</v>
      </c>
      <c r="I564" s="9">
        <f t="shared" si="68"/>
        <v>0</v>
      </c>
      <c r="J564" s="9">
        <f t="shared" si="69"/>
        <v>0</v>
      </c>
      <c r="K564" s="1">
        <f t="shared" si="71"/>
        <v>80</v>
      </c>
      <c r="L564" s="1"/>
      <c r="M564" s="3"/>
      <c r="N564" s="3"/>
      <c r="O564" s="3"/>
      <c r="P564" s="3"/>
      <c r="Q564" s="3"/>
      <c r="R564" s="1"/>
    </row>
    <row r="565" spans="2:18" x14ac:dyDescent="0.2">
      <c r="B565">
        <v>553</v>
      </c>
      <c r="C565" s="1">
        <v>0.1263564248724896</v>
      </c>
      <c r="D565" s="1">
        <f t="shared" si="65"/>
        <v>94.725576309308693</v>
      </c>
      <c r="E565" s="18">
        <f t="shared" si="64"/>
        <v>-14.725576309308693</v>
      </c>
      <c r="F565" s="1">
        <f t="shared" si="70"/>
        <v>80</v>
      </c>
      <c r="G565" s="9">
        <f t="shared" si="66"/>
        <v>0</v>
      </c>
      <c r="H565" s="9">
        <f t="shared" si="67"/>
        <v>80</v>
      </c>
      <c r="I565" s="9">
        <f t="shared" si="68"/>
        <v>0</v>
      </c>
      <c r="J565" s="9">
        <f t="shared" si="69"/>
        <v>0</v>
      </c>
      <c r="K565" s="1">
        <f t="shared" si="71"/>
        <v>80</v>
      </c>
      <c r="L565" s="1"/>
      <c r="M565" s="3"/>
      <c r="N565" s="3"/>
      <c r="O565" s="3"/>
      <c r="P565" s="3"/>
      <c r="Q565" s="3"/>
      <c r="R565" s="1"/>
    </row>
    <row r="566" spans="2:18" x14ac:dyDescent="0.2">
      <c r="B566">
        <v>554</v>
      </c>
      <c r="C566" s="1">
        <v>0.12680319492302766</v>
      </c>
      <c r="D566" s="1">
        <f t="shared" si="65"/>
        <v>94.750972043281607</v>
      </c>
      <c r="E566" s="18">
        <f t="shared" si="64"/>
        <v>-14.750972043281607</v>
      </c>
      <c r="F566" s="1">
        <f t="shared" si="70"/>
        <v>80</v>
      </c>
      <c r="G566" s="9">
        <f t="shared" si="66"/>
        <v>0</v>
      </c>
      <c r="H566" s="9">
        <f t="shared" si="67"/>
        <v>80</v>
      </c>
      <c r="I566" s="9">
        <f t="shared" si="68"/>
        <v>0</v>
      </c>
      <c r="J566" s="9">
        <f t="shared" si="69"/>
        <v>0</v>
      </c>
      <c r="K566" s="1">
        <f t="shared" si="71"/>
        <v>80</v>
      </c>
      <c r="L566" s="1"/>
      <c r="M566" s="3"/>
      <c r="N566" s="3"/>
      <c r="O566" s="3"/>
      <c r="P566" s="3"/>
      <c r="Q566" s="3"/>
      <c r="R566" s="1"/>
    </row>
    <row r="567" spans="2:18" x14ac:dyDescent="0.2">
      <c r="B567">
        <v>555</v>
      </c>
      <c r="C567" s="1">
        <v>0.12887514270635278</v>
      </c>
      <c r="D567" s="1">
        <f t="shared" si="65"/>
        <v>94.868836730841139</v>
      </c>
      <c r="E567" s="18">
        <f t="shared" si="64"/>
        <v>-14.868836730841139</v>
      </c>
      <c r="F567" s="1">
        <f t="shared" si="70"/>
        <v>80</v>
      </c>
      <c r="G567" s="9">
        <f t="shared" si="66"/>
        <v>0</v>
      </c>
      <c r="H567" s="9">
        <f t="shared" si="67"/>
        <v>80</v>
      </c>
      <c r="I567" s="9">
        <f t="shared" si="68"/>
        <v>0</v>
      </c>
      <c r="J567" s="9">
        <f t="shared" si="69"/>
        <v>0</v>
      </c>
      <c r="K567" s="1">
        <f t="shared" si="71"/>
        <v>80</v>
      </c>
      <c r="L567" s="1"/>
      <c r="M567" s="3"/>
      <c r="N567" s="3"/>
      <c r="O567" s="3"/>
      <c r="P567" s="3"/>
      <c r="Q567" s="3"/>
      <c r="R567" s="1"/>
    </row>
    <row r="568" spans="2:18" x14ac:dyDescent="0.2">
      <c r="B568">
        <v>556</v>
      </c>
      <c r="C568" s="1">
        <v>0.13254453162616184</v>
      </c>
      <c r="D568" s="1">
        <f t="shared" si="65"/>
        <v>95.077933218281743</v>
      </c>
      <c r="E568" s="18">
        <f t="shared" ref="E568:E631" si="72">-MIN(D568-F,(-IF(AND(D568&gt;=F-dis, D568&lt;F), F-D568, IF(D568&gt;=F, $E$7, 0))))</f>
        <v>-15.077933218281743</v>
      </c>
      <c r="F568" s="1">
        <f t="shared" si="70"/>
        <v>80</v>
      </c>
      <c r="G568" s="9">
        <f t="shared" si="66"/>
        <v>0</v>
      </c>
      <c r="H568" s="9">
        <f t="shared" si="67"/>
        <v>80</v>
      </c>
      <c r="I568" s="9">
        <f t="shared" si="68"/>
        <v>0</v>
      </c>
      <c r="J568" s="9">
        <f t="shared" si="69"/>
        <v>0</v>
      </c>
      <c r="K568" s="1">
        <f t="shared" si="71"/>
        <v>80</v>
      </c>
      <c r="L568" s="1"/>
      <c r="M568" s="3"/>
      <c r="N568" s="3"/>
      <c r="O568" s="3"/>
      <c r="P568" s="3"/>
      <c r="Q568" s="3"/>
      <c r="R568" s="1"/>
    </row>
    <row r="569" spans="2:18" x14ac:dyDescent="0.2">
      <c r="B569">
        <v>557</v>
      </c>
      <c r="C569" s="1">
        <v>0.13266173532584591</v>
      </c>
      <c r="D569" s="1">
        <f t="shared" si="65"/>
        <v>95.084619544696551</v>
      </c>
      <c r="E569" s="18">
        <f t="shared" si="72"/>
        <v>-15.084619544696551</v>
      </c>
      <c r="F569" s="1">
        <f t="shared" si="70"/>
        <v>80</v>
      </c>
      <c r="G569" s="9">
        <f t="shared" si="66"/>
        <v>0</v>
      </c>
      <c r="H569" s="9">
        <f t="shared" si="67"/>
        <v>80</v>
      </c>
      <c r="I569" s="9">
        <f t="shared" si="68"/>
        <v>0</v>
      </c>
      <c r="J569" s="9">
        <f t="shared" si="69"/>
        <v>0</v>
      </c>
      <c r="K569" s="1">
        <f t="shared" si="71"/>
        <v>80</v>
      </c>
      <c r="L569" s="1"/>
      <c r="M569" s="3"/>
      <c r="N569" s="3"/>
      <c r="O569" s="3"/>
      <c r="P569" s="3"/>
      <c r="Q569" s="3"/>
      <c r="R569" s="1"/>
    </row>
    <row r="570" spans="2:18" x14ac:dyDescent="0.2">
      <c r="B570">
        <v>558</v>
      </c>
      <c r="C570" s="1">
        <v>0.13449270964172694</v>
      </c>
      <c r="D570" s="1">
        <f t="shared" si="65"/>
        <v>95.189135441694845</v>
      </c>
      <c r="E570" s="18">
        <f t="shared" si="72"/>
        <v>-15.189135441694845</v>
      </c>
      <c r="F570" s="1">
        <f t="shared" si="70"/>
        <v>80</v>
      </c>
      <c r="G570" s="9">
        <f t="shared" si="66"/>
        <v>0</v>
      </c>
      <c r="H570" s="9">
        <f t="shared" si="67"/>
        <v>80</v>
      </c>
      <c r="I570" s="9">
        <f t="shared" si="68"/>
        <v>0</v>
      </c>
      <c r="J570" s="9">
        <f t="shared" si="69"/>
        <v>0</v>
      </c>
      <c r="K570" s="1">
        <f t="shared" si="71"/>
        <v>80</v>
      </c>
      <c r="L570" s="1"/>
      <c r="M570" s="3"/>
      <c r="N570" s="3"/>
      <c r="O570" s="3"/>
      <c r="P570" s="3"/>
      <c r="Q570" s="3"/>
      <c r="R570" s="1"/>
    </row>
    <row r="571" spans="2:18" x14ac:dyDescent="0.2">
      <c r="B571">
        <v>559</v>
      </c>
      <c r="C571" s="1">
        <v>0.13790672946944721</v>
      </c>
      <c r="D571" s="1">
        <f t="shared" si="65"/>
        <v>95.384321841985937</v>
      </c>
      <c r="E571" s="18">
        <f t="shared" si="72"/>
        <v>-15.384321841985937</v>
      </c>
      <c r="F571" s="1">
        <f t="shared" si="70"/>
        <v>80</v>
      </c>
      <c r="G571" s="9">
        <f t="shared" si="66"/>
        <v>0</v>
      </c>
      <c r="H571" s="9">
        <f t="shared" si="67"/>
        <v>80</v>
      </c>
      <c r="I571" s="9">
        <f t="shared" si="68"/>
        <v>0</v>
      </c>
      <c r="J571" s="9">
        <f t="shared" si="69"/>
        <v>0</v>
      </c>
      <c r="K571" s="1">
        <f t="shared" si="71"/>
        <v>80</v>
      </c>
      <c r="L571" s="1"/>
      <c r="M571" s="3"/>
      <c r="N571" s="3"/>
      <c r="O571" s="3"/>
      <c r="P571" s="3"/>
      <c r="Q571" s="3"/>
      <c r="R571" s="1"/>
    </row>
    <row r="572" spans="2:18" x14ac:dyDescent="0.2">
      <c r="B572">
        <v>560</v>
      </c>
      <c r="C572" s="1">
        <v>0.13800460442062876</v>
      </c>
      <c r="D572" s="1">
        <f t="shared" si="65"/>
        <v>95.389923447967647</v>
      </c>
      <c r="E572" s="18">
        <f t="shared" si="72"/>
        <v>-15.389923447967647</v>
      </c>
      <c r="F572" s="1">
        <f t="shared" si="70"/>
        <v>80</v>
      </c>
      <c r="G572" s="9">
        <f t="shared" si="66"/>
        <v>0</v>
      </c>
      <c r="H572" s="9">
        <f t="shared" si="67"/>
        <v>80</v>
      </c>
      <c r="I572" s="9">
        <f t="shared" si="68"/>
        <v>0</v>
      </c>
      <c r="J572" s="9">
        <f t="shared" si="69"/>
        <v>0</v>
      </c>
      <c r="K572" s="1">
        <f t="shared" si="71"/>
        <v>80</v>
      </c>
      <c r="L572" s="1"/>
      <c r="M572" s="3"/>
      <c r="N572" s="3"/>
      <c r="O572" s="3"/>
      <c r="P572" s="3"/>
      <c r="Q572" s="3"/>
      <c r="R572" s="1"/>
    </row>
    <row r="573" spans="2:18" x14ac:dyDescent="0.2">
      <c r="B573">
        <v>561</v>
      </c>
      <c r="C573" s="1">
        <v>0.13987887239182906</v>
      </c>
      <c r="D573" s="1">
        <f t="shared" si="65"/>
        <v>95.497255554371378</v>
      </c>
      <c r="E573" s="18">
        <f t="shared" si="72"/>
        <v>-15.497255554371378</v>
      </c>
      <c r="F573" s="1">
        <f t="shared" si="70"/>
        <v>80</v>
      </c>
      <c r="G573" s="9">
        <f t="shared" si="66"/>
        <v>0</v>
      </c>
      <c r="H573" s="9">
        <f t="shared" si="67"/>
        <v>80</v>
      </c>
      <c r="I573" s="9">
        <f t="shared" si="68"/>
        <v>0</v>
      </c>
      <c r="J573" s="9">
        <f t="shared" si="69"/>
        <v>0</v>
      </c>
      <c r="K573" s="1">
        <f t="shared" si="71"/>
        <v>80</v>
      </c>
      <c r="L573" s="1"/>
      <c r="M573" s="3"/>
      <c r="N573" s="3"/>
      <c r="O573" s="3"/>
      <c r="P573" s="3"/>
      <c r="Q573" s="3"/>
      <c r="R573" s="1"/>
    </row>
    <row r="574" spans="2:18" x14ac:dyDescent="0.2">
      <c r="B574">
        <v>562</v>
      </c>
      <c r="C574" s="1">
        <v>0.14226749760979054</v>
      </c>
      <c r="D574" s="1">
        <f t="shared" si="65"/>
        <v>95.634217968208731</v>
      </c>
      <c r="E574" s="18">
        <f t="shared" si="72"/>
        <v>-15.634217968208731</v>
      </c>
      <c r="F574" s="1">
        <f t="shared" si="70"/>
        <v>80</v>
      </c>
      <c r="G574" s="9">
        <f t="shared" si="66"/>
        <v>0</v>
      </c>
      <c r="H574" s="9">
        <f t="shared" si="67"/>
        <v>80</v>
      </c>
      <c r="I574" s="9">
        <f t="shared" si="68"/>
        <v>0</v>
      </c>
      <c r="J574" s="9">
        <f t="shared" si="69"/>
        <v>0</v>
      </c>
      <c r="K574" s="1">
        <f t="shared" si="71"/>
        <v>80</v>
      </c>
      <c r="L574" s="1"/>
      <c r="M574" s="3"/>
      <c r="N574" s="3"/>
      <c r="O574" s="3"/>
      <c r="P574" s="3"/>
      <c r="Q574" s="3"/>
      <c r="R574" s="1"/>
    </row>
    <row r="575" spans="2:18" x14ac:dyDescent="0.2">
      <c r="B575">
        <v>563</v>
      </c>
      <c r="C575" s="1">
        <v>0.14295936329061748</v>
      </c>
      <c r="D575" s="1">
        <f t="shared" si="65"/>
        <v>95.673925829385382</v>
      </c>
      <c r="E575" s="18">
        <f t="shared" si="72"/>
        <v>-15.673925829385382</v>
      </c>
      <c r="F575" s="1">
        <f t="shared" si="70"/>
        <v>80</v>
      </c>
      <c r="G575" s="9">
        <f t="shared" si="66"/>
        <v>0</v>
      </c>
      <c r="H575" s="9">
        <f t="shared" si="67"/>
        <v>80</v>
      </c>
      <c r="I575" s="9">
        <f t="shared" si="68"/>
        <v>0</v>
      </c>
      <c r="J575" s="9">
        <f t="shared" si="69"/>
        <v>0</v>
      </c>
      <c r="K575" s="1">
        <f t="shared" si="71"/>
        <v>80</v>
      </c>
      <c r="L575" s="1"/>
      <c r="M575" s="3"/>
      <c r="N575" s="3"/>
      <c r="O575" s="3"/>
      <c r="P575" s="3"/>
      <c r="Q575" s="3"/>
      <c r="R575" s="1"/>
    </row>
    <row r="576" spans="2:18" x14ac:dyDescent="0.2">
      <c r="B576">
        <v>564</v>
      </c>
      <c r="C576" s="1">
        <v>0.14852796975501276</v>
      </c>
      <c r="D576" s="1">
        <f t="shared" si="65"/>
        <v>95.994122711749526</v>
      </c>
      <c r="E576" s="18">
        <f t="shared" si="72"/>
        <v>-15.994122711749526</v>
      </c>
      <c r="F576" s="1">
        <f t="shared" si="70"/>
        <v>80</v>
      </c>
      <c r="G576" s="9">
        <f t="shared" si="66"/>
        <v>0</v>
      </c>
      <c r="H576" s="9">
        <f t="shared" si="67"/>
        <v>80</v>
      </c>
      <c r="I576" s="9">
        <f t="shared" si="68"/>
        <v>0</v>
      </c>
      <c r="J576" s="9">
        <f t="shared" si="69"/>
        <v>0</v>
      </c>
      <c r="K576" s="1">
        <f t="shared" si="71"/>
        <v>80</v>
      </c>
      <c r="L576" s="1"/>
      <c r="M576" s="3"/>
      <c r="N576" s="3"/>
      <c r="O576" s="3"/>
      <c r="P576" s="3"/>
      <c r="Q576" s="3"/>
      <c r="R576" s="1"/>
    </row>
    <row r="577" spans="2:18" x14ac:dyDescent="0.2">
      <c r="B577">
        <v>565</v>
      </c>
      <c r="C577" s="1">
        <v>0.15473176966687224</v>
      </c>
      <c r="D577" s="1">
        <f t="shared" si="65"/>
        <v>96.352105552603476</v>
      </c>
      <c r="E577" s="18">
        <f t="shared" si="72"/>
        <v>-16.352105552603476</v>
      </c>
      <c r="F577" s="1">
        <f t="shared" si="70"/>
        <v>80</v>
      </c>
      <c r="G577" s="9">
        <f t="shared" si="66"/>
        <v>0</v>
      </c>
      <c r="H577" s="9">
        <f t="shared" si="67"/>
        <v>80</v>
      </c>
      <c r="I577" s="9">
        <f t="shared" si="68"/>
        <v>0</v>
      </c>
      <c r="J577" s="9">
        <f t="shared" si="69"/>
        <v>0</v>
      </c>
      <c r="K577" s="1">
        <f t="shared" si="71"/>
        <v>80</v>
      </c>
      <c r="L577" s="1"/>
      <c r="M577" s="3"/>
      <c r="N577" s="3"/>
      <c r="O577" s="3"/>
      <c r="P577" s="3"/>
      <c r="Q577" s="3"/>
      <c r="R577" s="1"/>
    </row>
    <row r="578" spans="2:18" x14ac:dyDescent="0.2">
      <c r="B578">
        <v>566</v>
      </c>
      <c r="C578" s="1">
        <v>0.15554188842593109</v>
      </c>
      <c r="D578" s="1">
        <f t="shared" si="65"/>
        <v>96.398950925685583</v>
      </c>
      <c r="E578" s="18">
        <f t="shared" si="72"/>
        <v>-16.398950925685583</v>
      </c>
      <c r="F578" s="1">
        <f t="shared" si="70"/>
        <v>80</v>
      </c>
      <c r="G578" s="9">
        <f t="shared" si="66"/>
        <v>0</v>
      </c>
      <c r="H578" s="9">
        <f t="shared" si="67"/>
        <v>80</v>
      </c>
      <c r="I578" s="9">
        <f t="shared" si="68"/>
        <v>0</v>
      </c>
      <c r="J578" s="9">
        <f t="shared" si="69"/>
        <v>0</v>
      </c>
      <c r="K578" s="1">
        <f t="shared" si="71"/>
        <v>80</v>
      </c>
      <c r="L578" s="1"/>
      <c r="M578" s="3"/>
      <c r="N578" s="3"/>
      <c r="O578" s="3"/>
      <c r="P578" s="3"/>
      <c r="Q578" s="3"/>
      <c r="R578" s="1"/>
    </row>
    <row r="579" spans="2:18" x14ac:dyDescent="0.2">
      <c r="B579">
        <v>567</v>
      </c>
      <c r="C579" s="1">
        <v>0.15601855212680485</v>
      </c>
      <c r="D579" s="1">
        <f t="shared" si="65"/>
        <v>96.426524796961857</v>
      </c>
      <c r="E579" s="18">
        <f t="shared" si="72"/>
        <v>-16.426524796961857</v>
      </c>
      <c r="F579" s="1">
        <f t="shared" si="70"/>
        <v>80</v>
      </c>
      <c r="G579" s="9">
        <f t="shared" si="66"/>
        <v>0</v>
      </c>
      <c r="H579" s="9">
        <f t="shared" si="67"/>
        <v>80</v>
      </c>
      <c r="I579" s="9">
        <f t="shared" si="68"/>
        <v>0</v>
      </c>
      <c r="J579" s="9">
        <f t="shared" si="69"/>
        <v>0</v>
      </c>
      <c r="K579" s="1">
        <f t="shared" si="71"/>
        <v>80</v>
      </c>
      <c r="L579" s="1"/>
      <c r="M579" s="3"/>
      <c r="N579" s="3"/>
      <c r="O579" s="3"/>
      <c r="P579" s="3"/>
      <c r="Q579" s="3"/>
      <c r="R579" s="1"/>
    </row>
    <row r="580" spans="2:18" x14ac:dyDescent="0.2">
      <c r="B580">
        <v>568</v>
      </c>
      <c r="C580" s="1">
        <v>0.15822699852414859</v>
      </c>
      <c r="D580" s="1">
        <f t="shared" si="65"/>
        <v>96.554381174218733</v>
      </c>
      <c r="E580" s="18">
        <f t="shared" si="72"/>
        <v>-16.554381174218733</v>
      </c>
      <c r="F580" s="1">
        <f t="shared" si="70"/>
        <v>80</v>
      </c>
      <c r="G580" s="9">
        <f t="shared" si="66"/>
        <v>0</v>
      </c>
      <c r="H580" s="9">
        <f t="shared" si="67"/>
        <v>80</v>
      </c>
      <c r="I580" s="9">
        <f t="shared" si="68"/>
        <v>0</v>
      </c>
      <c r="J580" s="9">
        <f t="shared" si="69"/>
        <v>0</v>
      </c>
      <c r="K580" s="1">
        <f t="shared" si="71"/>
        <v>80</v>
      </c>
      <c r="L580" s="1"/>
      <c r="M580" s="3"/>
      <c r="N580" s="3"/>
      <c r="O580" s="3"/>
      <c r="P580" s="3"/>
      <c r="Q580" s="3"/>
      <c r="R580" s="1"/>
    </row>
    <row r="581" spans="2:18" x14ac:dyDescent="0.2">
      <c r="B581">
        <v>569</v>
      </c>
      <c r="C581" s="1">
        <v>0.15874854674626593</v>
      </c>
      <c r="D581" s="1">
        <f t="shared" si="65"/>
        <v>96.584600561735925</v>
      </c>
      <c r="E581" s="18">
        <f t="shared" si="72"/>
        <v>-16.584600561735925</v>
      </c>
      <c r="F581" s="1">
        <f t="shared" si="70"/>
        <v>80</v>
      </c>
      <c r="G581" s="9">
        <f t="shared" si="66"/>
        <v>0</v>
      </c>
      <c r="H581" s="9">
        <f t="shared" si="67"/>
        <v>80</v>
      </c>
      <c r="I581" s="9">
        <f t="shared" si="68"/>
        <v>0</v>
      </c>
      <c r="J581" s="9">
        <f t="shared" si="69"/>
        <v>0</v>
      </c>
      <c r="K581" s="1">
        <f t="shared" si="71"/>
        <v>80</v>
      </c>
      <c r="L581" s="1"/>
      <c r="M581" s="3"/>
      <c r="N581" s="3"/>
      <c r="O581" s="3"/>
      <c r="P581" s="3"/>
      <c r="Q581" s="3"/>
      <c r="R581" s="1"/>
    </row>
    <row r="582" spans="2:18" x14ac:dyDescent="0.2">
      <c r="B582">
        <v>570</v>
      </c>
      <c r="C582" s="1">
        <v>0.16003730595432658</v>
      </c>
      <c r="D582" s="1">
        <f t="shared" si="65"/>
        <v>96.659314020308955</v>
      </c>
      <c r="E582" s="18">
        <f t="shared" si="72"/>
        <v>-16.659314020308955</v>
      </c>
      <c r="F582" s="1">
        <f t="shared" si="70"/>
        <v>80</v>
      </c>
      <c r="G582" s="9">
        <f t="shared" si="66"/>
        <v>0</v>
      </c>
      <c r="H582" s="9">
        <f t="shared" si="67"/>
        <v>80</v>
      </c>
      <c r="I582" s="9">
        <f t="shared" si="68"/>
        <v>0</v>
      </c>
      <c r="J582" s="9">
        <f t="shared" si="69"/>
        <v>0</v>
      </c>
      <c r="K582" s="1">
        <f t="shared" si="71"/>
        <v>80</v>
      </c>
      <c r="L582" s="1"/>
      <c r="M582" s="3"/>
      <c r="N582" s="3"/>
      <c r="O582" s="3"/>
      <c r="P582" s="3"/>
      <c r="Q582" s="3"/>
      <c r="R582" s="1"/>
    </row>
    <row r="583" spans="2:18" x14ac:dyDescent="0.2">
      <c r="B583">
        <v>571</v>
      </c>
      <c r="C583" s="1">
        <v>0.16086097848178729</v>
      </c>
      <c r="D583" s="1">
        <f t="shared" si="65"/>
        <v>96.707095199038775</v>
      </c>
      <c r="E583" s="18">
        <f t="shared" si="72"/>
        <v>-16.707095199038775</v>
      </c>
      <c r="F583" s="1">
        <f t="shared" si="70"/>
        <v>80</v>
      </c>
      <c r="G583" s="9">
        <f t="shared" si="66"/>
        <v>0</v>
      </c>
      <c r="H583" s="9">
        <f t="shared" si="67"/>
        <v>80</v>
      </c>
      <c r="I583" s="9">
        <f t="shared" si="68"/>
        <v>0</v>
      </c>
      <c r="J583" s="9">
        <f t="shared" si="69"/>
        <v>0</v>
      </c>
      <c r="K583" s="1">
        <f t="shared" si="71"/>
        <v>80</v>
      </c>
      <c r="L583" s="1"/>
      <c r="M583" s="3"/>
      <c r="N583" s="3"/>
      <c r="O583" s="3"/>
      <c r="P583" s="3"/>
      <c r="Q583" s="3"/>
      <c r="R583" s="1"/>
    </row>
    <row r="584" spans="2:18" x14ac:dyDescent="0.2">
      <c r="B584">
        <v>572</v>
      </c>
      <c r="C584" s="1">
        <v>0.16226407850104074</v>
      </c>
      <c r="D584" s="1">
        <f t="shared" si="65"/>
        <v>96.788543314465528</v>
      </c>
      <c r="E584" s="18">
        <f t="shared" si="72"/>
        <v>-16.788543314465528</v>
      </c>
      <c r="F584" s="1">
        <f t="shared" si="70"/>
        <v>80</v>
      </c>
      <c r="G584" s="9">
        <f t="shared" si="66"/>
        <v>0</v>
      </c>
      <c r="H584" s="9">
        <f t="shared" si="67"/>
        <v>80</v>
      </c>
      <c r="I584" s="9">
        <f t="shared" si="68"/>
        <v>0</v>
      </c>
      <c r="J584" s="9">
        <f t="shared" si="69"/>
        <v>0</v>
      </c>
      <c r="K584" s="1">
        <f t="shared" si="71"/>
        <v>80</v>
      </c>
      <c r="L584" s="1"/>
      <c r="M584" s="3"/>
      <c r="N584" s="3"/>
      <c r="O584" s="3"/>
      <c r="P584" s="3"/>
      <c r="Q584" s="3"/>
      <c r="R584" s="1"/>
    </row>
    <row r="585" spans="2:18" x14ac:dyDescent="0.2">
      <c r="B585">
        <v>573</v>
      </c>
      <c r="C585" s="1">
        <v>0.16441062204814255</v>
      </c>
      <c r="D585" s="1">
        <f t="shared" si="65"/>
        <v>96.913280116967798</v>
      </c>
      <c r="E585" s="18">
        <f t="shared" si="72"/>
        <v>-16.913280116967798</v>
      </c>
      <c r="F585" s="1">
        <f t="shared" si="70"/>
        <v>80</v>
      </c>
      <c r="G585" s="9">
        <f t="shared" si="66"/>
        <v>0</v>
      </c>
      <c r="H585" s="9">
        <f t="shared" si="67"/>
        <v>80</v>
      </c>
      <c r="I585" s="9">
        <f t="shared" si="68"/>
        <v>0</v>
      </c>
      <c r="J585" s="9">
        <f t="shared" si="69"/>
        <v>0</v>
      </c>
      <c r="K585" s="1">
        <f t="shared" si="71"/>
        <v>80</v>
      </c>
      <c r="L585" s="1"/>
      <c r="M585" s="3"/>
      <c r="N585" s="3"/>
      <c r="O585" s="3"/>
      <c r="P585" s="3"/>
      <c r="Q585" s="3"/>
      <c r="R585" s="1"/>
    </row>
    <row r="586" spans="2:18" x14ac:dyDescent="0.2">
      <c r="B586">
        <v>574</v>
      </c>
      <c r="C586" s="1">
        <v>0.16444737664315226</v>
      </c>
      <c r="D586" s="1">
        <f t="shared" si="65"/>
        <v>96.915417345550665</v>
      </c>
      <c r="E586" s="18">
        <f t="shared" si="72"/>
        <v>-16.915417345550665</v>
      </c>
      <c r="F586" s="1">
        <f t="shared" si="70"/>
        <v>80</v>
      </c>
      <c r="G586" s="9">
        <f t="shared" si="66"/>
        <v>0</v>
      </c>
      <c r="H586" s="9">
        <f t="shared" si="67"/>
        <v>80</v>
      </c>
      <c r="I586" s="9">
        <f t="shared" si="68"/>
        <v>0</v>
      </c>
      <c r="J586" s="9">
        <f t="shared" si="69"/>
        <v>0</v>
      </c>
      <c r="K586" s="1">
        <f t="shared" si="71"/>
        <v>80</v>
      </c>
      <c r="L586" s="1"/>
      <c r="M586" s="3"/>
      <c r="N586" s="3"/>
      <c r="O586" s="3"/>
      <c r="P586" s="3"/>
      <c r="Q586" s="3"/>
      <c r="R586" s="1"/>
    </row>
    <row r="587" spans="2:18" x14ac:dyDescent="0.2">
      <c r="B587">
        <v>575</v>
      </c>
      <c r="C587" s="1">
        <v>0.16901739530518145</v>
      </c>
      <c r="D587" s="1">
        <f t="shared" si="65"/>
        <v>97.181525173686978</v>
      </c>
      <c r="E587" s="18">
        <f t="shared" si="72"/>
        <v>-17.181525173686978</v>
      </c>
      <c r="F587" s="1">
        <f t="shared" si="70"/>
        <v>80</v>
      </c>
      <c r="G587" s="9">
        <f t="shared" si="66"/>
        <v>0</v>
      </c>
      <c r="H587" s="9">
        <f t="shared" si="67"/>
        <v>80</v>
      </c>
      <c r="I587" s="9">
        <f t="shared" si="68"/>
        <v>0</v>
      </c>
      <c r="J587" s="9">
        <f t="shared" si="69"/>
        <v>0</v>
      </c>
      <c r="K587" s="1">
        <f t="shared" si="71"/>
        <v>80</v>
      </c>
      <c r="L587" s="1"/>
      <c r="M587" s="3"/>
      <c r="N587" s="3"/>
      <c r="O587" s="3"/>
      <c r="P587" s="3"/>
      <c r="Q587" s="3"/>
      <c r="R587" s="1"/>
    </row>
    <row r="588" spans="2:18" x14ac:dyDescent="0.2">
      <c r="B588">
        <v>576</v>
      </c>
      <c r="C588" s="1">
        <v>0.17086389982002323</v>
      </c>
      <c r="D588" s="1">
        <f t="shared" si="65"/>
        <v>97.289252513369007</v>
      </c>
      <c r="E588" s="18">
        <f t="shared" si="72"/>
        <v>-17.289252513369007</v>
      </c>
      <c r="F588" s="1">
        <f t="shared" si="70"/>
        <v>80</v>
      </c>
      <c r="G588" s="9">
        <f t="shared" si="66"/>
        <v>0</v>
      </c>
      <c r="H588" s="9">
        <f t="shared" si="67"/>
        <v>80</v>
      </c>
      <c r="I588" s="9">
        <f t="shared" si="68"/>
        <v>0</v>
      </c>
      <c r="J588" s="9">
        <f t="shared" si="69"/>
        <v>0</v>
      </c>
      <c r="K588" s="1">
        <f t="shared" si="71"/>
        <v>80</v>
      </c>
      <c r="L588" s="1"/>
      <c r="M588" s="3"/>
      <c r="N588" s="3"/>
      <c r="O588" s="3"/>
      <c r="P588" s="3"/>
      <c r="Q588" s="3"/>
      <c r="R588" s="1"/>
    </row>
    <row r="589" spans="2:18" x14ac:dyDescent="0.2">
      <c r="B589">
        <v>577</v>
      </c>
      <c r="C589" s="1">
        <v>0.17245525650357213</v>
      </c>
      <c r="D589" s="1">
        <f t="shared" ref="D589:D652" si="73">a0*EXP((RR-0.5*sigma^2)*T+sigma*SQRT(T)*C589)</f>
        <v>97.3821900166582</v>
      </c>
      <c r="E589" s="18">
        <f t="shared" si="72"/>
        <v>-17.3821900166582</v>
      </c>
      <c r="F589" s="1">
        <f t="shared" si="70"/>
        <v>80</v>
      </c>
      <c r="G589" s="9">
        <f t="shared" ref="G589:G652" si="74">IF(F589&lt;F,MIN(disc,F589),0)</f>
        <v>0</v>
      </c>
      <c r="H589" s="9">
        <f t="shared" ref="H589:H652" si="75">IF(F589&gt;=F,F,F589-G589)</f>
        <v>80</v>
      </c>
      <c r="I589" s="9">
        <f t="shared" ref="I589:I652" si="76">(1-tax)*(F589-G589-H589)</f>
        <v>0</v>
      </c>
      <c r="J589" s="9">
        <f t="shared" ref="J589:J652" si="77">tax*(F589-G589-H589)</f>
        <v>0</v>
      </c>
      <c r="K589" s="1">
        <f t="shared" si="71"/>
        <v>80</v>
      </c>
      <c r="L589" s="1"/>
      <c r="M589" s="3"/>
      <c r="N589" s="3"/>
      <c r="O589" s="3"/>
      <c r="P589" s="3"/>
      <c r="Q589" s="3"/>
      <c r="R589" s="1"/>
    </row>
    <row r="590" spans="2:18" x14ac:dyDescent="0.2">
      <c r="B590">
        <v>578</v>
      </c>
      <c r="C590" s="1">
        <v>0.17264013841398504</v>
      </c>
      <c r="D590" s="1">
        <f t="shared" si="73"/>
        <v>97.39299313903598</v>
      </c>
      <c r="E590" s="18">
        <f t="shared" si="72"/>
        <v>-17.39299313903598</v>
      </c>
      <c r="F590" s="1">
        <f t="shared" ref="F590:F653" si="78">D590+E590</f>
        <v>80</v>
      </c>
      <c r="G590" s="9">
        <f t="shared" si="74"/>
        <v>0</v>
      </c>
      <c r="H590" s="9">
        <f t="shared" si="75"/>
        <v>80</v>
      </c>
      <c r="I590" s="9">
        <f t="shared" si="76"/>
        <v>0</v>
      </c>
      <c r="J590" s="9">
        <f t="shared" si="77"/>
        <v>0</v>
      </c>
      <c r="K590" s="1">
        <f t="shared" ref="K590:K653" si="79">SUM(G590:J590)</f>
        <v>80</v>
      </c>
      <c r="L590" s="1"/>
      <c r="M590" s="3"/>
      <c r="N590" s="3"/>
      <c r="O590" s="3"/>
      <c r="P590" s="3"/>
      <c r="Q590" s="3"/>
      <c r="R590" s="1"/>
    </row>
    <row r="591" spans="2:18" x14ac:dyDescent="0.2">
      <c r="B591">
        <v>579</v>
      </c>
      <c r="C591" s="1">
        <v>0.17640737448535113</v>
      </c>
      <c r="D591" s="1">
        <f t="shared" si="73"/>
        <v>97.613383562138637</v>
      </c>
      <c r="E591" s="18">
        <f t="shared" si="72"/>
        <v>-17.613383562138637</v>
      </c>
      <c r="F591" s="1">
        <f t="shared" si="78"/>
        <v>80</v>
      </c>
      <c r="G591" s="9">
        <f t="shared" si="74"/>
        <v>0</v>
      </c>
      <c r="H591" s="9">
        <f t="shared" si="75"/>
        <v>80</v>
      </c>
      <c r="I591" s="9">
        <f t="shared" si="76"/>
        <v>0</v>
      </c>
      <c r="J591" s="9">
        <f t="shared" si="77"/>
        <v>0</v>
      </c>
      <c r="K591" s="1">
        <f t="shared" si="79"/>
        <v>80</v>
      </c>
      <c r="L591" s="1"/>
      <c r="M591" s="3"/>
      <c r="N591" s="3"/>
      <c r="O591" s="3"/>
      <c r="P591" s="3"/>
      <c r="Q591" s="3"/>
      <c r="R591" s="1"/>
    </row>
    <row r="592" spans="2:18" x14ac:dyDescent="0.2">
      <c r="B592">
        <v>580</v>
      </c>
      <c r="C592" s="1">
        <v>0.17762333157083107</v>
      </c>
      <c r="D592" s="1">
        <f t="shared" si="73"/>
        <v>97.684625758442621</v>
      </c>
      <c r="E592" s="18">
        <f t="shared" si="72"/>
        <v>-17.684625758442621</v>
      </c>
      <c r="F592" s="1">
        <f t="shared" si="78"/>
        <v>80</v>
      </c>
      <c r="G592" s="9">
        <f t="shared" si="74"/>
        <v>0</v>
      </c>
      <c r="H592" s="9">
        <f t="shared" si="75"/>
        <v>80</v>
      </c>
      <c r="I592" s="9">
        <f t="shared" si="76"/>
        <v>0</v>
      </c>
      <c r="J592" s="9">
        <f t="shared" si="77"/>
        <v>0</v>
      </c>
      <c r="K592" s="1">
        <f t="shared" si="79"/>
        <v>80</v>
      </c>
      <c r="L592" s="1"/>
      <c r="M592" s="3"/>
      <c r="N592" s="3"/>
      <c r="O592" s="3"/>
      <c r="P592" s="3"/>
      <c r="Q592" s="3"/>
      <c r="R592" s="1"/>
    </row>
    <row r="593" spans="2:18" x14ac:dyDescent="0.2">
      <c r="B593">
        <v>581</v>
      </c>
      <c r="C593" s="1">
        <v>0.17865599356458178</v>
      </c>
      <c r="D593" s="1">
        <f t="shared" si="73"/>
        <v>97.745169633149928</v>
      </c>
      <c r="E593" s="18">
        <f t="shared" si="72"/>
        <v>-17.745169633149928</v>
      </c>
      <c r="F593" s="1">
        <f t="shared" si="78"/>
        <v>80</v>
      </c>
      <c r="G593" s="9">
        <f t="shared" si="74"/>
        <v>0</v>
      </c>
      <c r="H593" s="9">
        <f t="shared" si="75"/>
        <v>80</v>
      </c>
      <c r="I593" s="9">
        <f t="shared" si="76"/>
        <v>0</v>
      </c>
      <c r="J593" s="9">
        <f t="shared" si="77"/>
        <v>0</v>
      </c>
      <c r="K593" s="1">
        <f t="shared" si="79"/>
        <v>80</v>
      </c>
      <c r="L593" s="1"/>
      <c r="M593" s="3"/>
      <c r="N593" s="3"/>
      <c r="O593" s="3"/>
      <c r="P593" s="3"/>
      <c r="Q593" s="3"/>
      <c r="R593" s="1"/>
    </row>
    <row r="594" spans="2:18" x14ac:dyDescent="0.2">
      <c r="B594">
        <v>582</v>
      </c>
      <c r="C594" s="1">
        <v>0.17932208281125778</v>
      </c>
      <c r="D594" s="1">
        <f t="shared" si="73"/>
        <v>97.784241644108079</v>
      </c>
      <c r="E594" s="18">
        <f t="shared" si="72"/>
        <v>-17.784241644108079</v>
      </c>
      <c r="F594" s="1">
        <f t="shared" si="78"/>
        <v>80</v>
      </c>
      <c r="G594" s="9">
        <f t="shared" si="74"/>
        <v>0</v>
      </c>
      <c r="H594" s="9">
        <f t="shared" si="75"/>
        <v>80</v>
      </c>
      <c r="I594" s="9">
        <f t="shared" si="76"/>
        <v>0</v>
      </c>
      <c r="J594" s="9">
        <f t="shared" si="77"/>
        <v>0</v>
      </c>
      <c r="K594" s="1">
        <f t="shared" si="79"/>
        <v>80</v>
      </c>
      <c r="L594" s="1"/>
      <c r="M594" s="3"/>
      <c r="N594" s="3"/>
      <c r="O594" s="3"/>
      <c r="P594" s="3"/>
      <c r="Q594" s="3"/>
      <c r="R594" s="1"/>
    </row>
    <row r="595" spans="2:18" x14ac:dyDescent="0.2">
      <c r="B595">
        <v>583</v>
      </c>
      <c r="C595" s="1">
        <v>0.17939366072960997</v>
      </c>
      <c r="D595" s="1">
        <f t="shared" si="73"/>
        <v>97.788441249765853</v>
      </c>
      <c r="E595" s="18">
        <f t="shared" si="72"/>
        <v>-17.788441249765853</v>
      </c>
      <c r="F595" s="1">
        <f t="shared" si="78"/>
        <v>80</v>
      </c>
      <c r="G595" s="9">
        <f t="shared" si="74"/>
        <v>0</v>
      </c>
      <c r="H595" s="9">
        <f t="shared" si="75"/>
        <v>80</v>
      </c>
      <c r="I595" s="9">
        <f t="shared" si="76"/>
        <v>0</v>
      </c>
      <c r="J595" s="9">
        <f t="shared" si="77"/>
        <v>0</v>
      </c>
      <c r="K595" s="1">
        <f t="shared" si="79"/>
        <v>80</v>
      </c>
      <c r="L595" s="1"/>
      <c r="M595" s="3"/>
      <c r="N595" s="3"/>
      <c r="O595" s="3"/>
      <c r="P595" s="3"/>
      <c r="Q595" s="3"/>
      <c r="R595" s="1"/>
    </row>
    <row r="596" spans="2:18" x14ac:dyDescent="0.2">
      <c r="B596">
        <v>584</v>
      </c>
      <c r="C596" s="1">
        <v>0.18421778512709805</v>
      </c>
      <c r="D596" s="1">
        <f t="shared" si="73"/>
        <v>98.071897443383577</v>
      </c>
      <c r="E596" s="18">
        <f t="shared" si="72"/>
        <v>-18.071897443383577</v>
      </c>
      <c r="F596" s="1">
        <f t="shared" si="78"/>
        <v>80</v>
      </c>
      <c r="G596" s="9">
        <f t="shared" si="74"/>
        <v>0</v>
      </c>
      <c r="H596" s="9">
        <f t="shared" si="75"/>
        <v>80</v>
      </c>
      <c r="I596" s="9">
        <f t="shared" si="76"/>
        <v>0</v>
      </c>
      <c r="J596" s="9">
        <f t="shared" si="77"/>
        <v>0</v>
      </c>
      <c r="K596" s="1">
        <f t="shared" si="79"/>
        <v>80</v>
      </c>
      <c r="L596" s="1"/>
      <c r="M596" s="3"/>
      <c r="N596" s="3"/>
      <c r="O596" s="3"/>
      <c r="P596" s="3"/>
      <c r="Q596" s="3"/>
      <c r="R596" s="1"/>
    </row>
    <row r="597" spans="2:18" x14ac:dyDescent="0.2">
      <c r="B597">
        <v>585</v>
      </c>
      <c r="C597" s="1">
        <v>0.19051350571976852</v>
      </c>
      <c r="D597" s="1">
        <f t="shared" si="73"/>
        <v>98.443057977526365</v>
      </c>
      <c r="E597" s="18">
        <f t="shared" si="72"/>
        <v>-18.443057977526365</v>
      </c>
      <c r="F597" s="1">
        <f t="shared" si="78"/>
        <v>80</v>
      </c>
      <c r="G597" s="9">
        <f t="shared" si="74"/>
        <v>0</v>
      </c>
      <c r="H597" s="9">
        <f t="shared" si="75"/>
        <v>80</v>
      </c>
      <c r="I597" s="9">
        <f t="shared" si="76"/>
        <v>0</v>
      </c>
      <c r="J597" s="9">
        <f t="shared" si="77"/>
        <v>0</v>
      </c>
      <c r="K597" s="1">
        <f t="shared" si="79"/>
        <v>80</v>
      </c>
      <c r="L597" s="1"/>
      <c r="M597" s="3"/>
      <c r="N597" s="3"/>
      <c r="O597" s="3"/>
      <c r="P597" s="3"/>
      <c r="Q597" s="3"/>
      <c r="R597" s="1"/>
    </row>
    <row r="598" spans="2:18" x14ac:dyDescent="0.2">
      <c r="B598">
        <v>586</v>
      </c>
      <c r="C598" s="1">
        <v>0.19290787816339755</v>
      </c>
      <c r="D598" s="1">
        <f t="shared" si="73"/>
        <v>98.584585221037358</v>
      </c>
      <c r="E598" s="18">
        <f t="shared" si="72"/>
        <v>-18.584585221037358</v>
      </c>
      <c r="F598" s="1">
        <f t="shared" si="78"/>
        <v>80</v>
      </c>
      <c r="G598" s="9">
        <f t="shared" si="74"/>
        <v>0</v>
      </c>
      <c r="H598" s="9">
        <f t="shared" si="75"/>
        <v>80</v>
      </c>
      <c r="I598" s="9">
        <f t="shared" si="76"/>
        <v>0</v>
      </c>
      <c r="J598" s="9">
        <f t="shared" si="77"/>
        <v>0</v>
      </c>
      <c r="K598" s="1">
        <f t="shared" si="79"/>
        <v>80</v>
      </c>
      <c r="L598" s="1"/>
      <c r="M598" s="3"/>
      <c r="N598" s="3"/>
      <c r="O598" s="3"/>
      <c r="P598" s="3"/>
      <c r="Q598" s="3"/>
      <c r="R598" s="1"/>
    </row>
    <row r="599" spans="2:18" x14ac:dyDescent="0.2">
      <c r="B599">
        <v>587</v>
      </c>
      <c r="C599" s="1">
        <v>0.19385575582034117</v>
      </c>
      <c r="D599" s="1">
        <f t="shared" si="73"/>
        <v>98.640668843039379</v>
      </c>
      <c r="E599" s="18">
        <f t="shared" si="72"/>
        <v>-18.640668843039379</v>
      </c>
      <c r="F599" s="1">
        <f t="shared" si="78"/>
        <v>80</v>
      </c>
      <c r="G599" s="9">
        <f t="shared" si="74"/>
        <v>0</v>
      </c>
      <c r="H599" s="9">
        <f t="shared" si="75"/>
        <v>80</v>
      </c>
      <c r="I599" s="9">
        <f t="shared" si="76"/>
        <v>0</v>
      </c>
      <c r="J599" s="9">
        <f t="shared" si="77"/>
        <v>0</v>
      </c>
      <c r="K599" s="1">
        <f t="shared" si="79"/>
        <v>80</v>
      </c>
      <c r="L599" s="1"/>
      <c r="M599" s="3"/>
      <c r="N599" s="3"/>
      <c r="O599" s="3"/>
      <c r="P599" s="3"/>
      <c r="Q599" s="3"/>
      <c r="R599" s="1"/>
    </row>
    <row r="600" spans="2:18" x14ac:dyDescent="0.2">
      <c r="B600">
        <v>588</v>
      </c>
      <c r="C600" s="1">
        <v>0.1979465164099069</v>
      </c>
      <c r="D600" s="1">
        <f t="shared" si="73"/>
        <v>98.883075425911755</v>
      </c>
      <c r="E600" s="18">
        <f t="shared" si="72"/>
        <v>-18.883075425911755</v>
      </c>
      <c r="F600" s="1">
        <f t="shared" si="78"/>
        <v>80</v>
      </c>
      <c r="G600" s="9">
        <f t="shared" si="74"/>
        <v>0</v>
      </c>
      <c r="H600" s="9">
        <f t="shared" si="75"/>
        <v>80</v>
      </c>
      <c r="I600" s="9">
        <f t="shared" si="76"/>
        <v>0</v>
      </c>
      <c r="J600" s="9">
        <f t="shared" si="77"/>
        <v>0</v>
      </c>
      <c r="K600" s="1">
        <f t="shared" si="79"/>
        <v>80</v>
      </c>
      <c r="L600" s="1"/>
      <c r="M600" s="3"/>
      <c r="N600" s="3"/>
      <c r="O600" s="3"/>
      <c r="P600" s="3"/>
      <c r="Q600" s="3"/>
      <c r="R600" s="1"/>
    </row>
    <row r="601" spans="2:18" x14ac:dyDescent="0.2">
      <c r="B601">
        <v>589</v>
      </c>
      <c r="C601" s="1">
        <v>0.19840401279160885</v>
      </c>
      <c r="D601" s="1">
        <f t="shared" si="73"/>
        <v>98.910222341157308</v>
      </c>
      <c r="E601" s="18">
        <f t="shared" si="72"/>
        <v>-18.910222341157308</v>
      </c>
      <c r="F601" s="1">
        <f t="shared" si="78"/>
        <v>80</v>
      </c>
      <c r="G601" s="9">
        <f t="shared" si="74"/>
        <v>0</v>
      </c>
      <c r="H601" s="9">
        <f t="shared" si="75"/>
        <v>80</v>
      </c>
      <c r="I601" s="9">
        <f t="shared" si="76"/>
        <v>0</v>
      </c>
      <c r="J601" s="9">
        <f t="shared" si="77"/>
        <v>0</v>
      </c>
      <c r="K601" s="1">
        <f t="shared" si="79"/>
        <v>80</v>
      </c>
      <c r="L601" s="1"/>
      <c r="M601" s="3"/>
      <c r="N601" s="3"/>
      <c r="O601" s="3"/>
      <c r="P601" s="3"/>
      <c r="Q601" s="3"/>
      <c r="R601" s="1"/>
    </row>
    <row r="602" spans="2:18" x14ac:dyDescent="0.2">
      <c r="B602">
        <v>590</v>
      </c>
      <c r="C602" s="1">
        <v>0.20094787474197048</v>
      </c>
      <c r="D602" s="1">
        <f t="shared" si="73"/>
        <v>99.061305983274224</v>
      </c>
      <c r="E602" s="18">
        <f t="shared" si="72"/>
        <v>-19.061305983274224</v>
      </c>
      <c r="F602" s="1">
        <f t="shared" si="78"/>
        <v>80</v>
      </c>
      <c r="G602" s="9">
        <f t="shared" si="74"/>
        <v>0</v>
      </c>
      <c r="H602" s="9">
        <f t="shared" si="75"/>
        <v>80</v>
      </c>
      <c r="I602" s="9">
        <f t="shared" si="76"/>
        <v>0</v>
      </c>
      <c r="J602" s="9">
        <f t="shared" si="77"/>
        <v>0</v>
      </c>
      <c r="K602" s="1">
        <f t="shared" si="79"/>
        <v>80</v>
      </c>
      <c r="L602" s="1"/>
      <c r="M602" s="3"/>
      <c r="N602" s="3"/>
      <c r="O602" s="3"/>
      <c r="P602" s="3"/>
      <c r="Q602" s="3"/>
      <c r="R602" s="1"/>
    </row>
    <row r="603" spans="2:18" x14ac:dyDescent="0.2">
      <c r="B603">
        <v>591</v>
      </c>
      <c r="C603" s="1">
        <v>0.20677657493571894</v>
      </c>
      <c r="D603" s="1">
        <f t="shared" si="73"/>
        <v>99.408351669164617</v>
      </c>
      <c r="E603" s="18">
        <f t="shared" si="72"/>
        <v>-19.408351669164617</v>
      </c>
      <c r="F603" s="1">
        <f t="shared" si="78"/>
        <v>80</v>
      </c>
      <c r="G603" s="9">
        <f t="shared" si="74"/>
        <v>0</v>
      </c>
      <c r="H603" s="9">
        <f t="shared" si="75"/>
        <v>80</v>
      </c>
      <c r="I603" s="9">
        <f t="shared" si="76"/>
        <v>0</v>
      </c>
      <c r="J603" s="9">
        <f t="shared" si="77"/>
        <v>0</v>
      </c>
      <c r="K603" s="1">
        <f t="shared" si="79"/>
        <v>80</v>
      </c>
      <c r="L603" s="1"/>
      <c r="M603" s="3"/>
      <c r="N603" s="3"/>
      <c r="O603" s="3"/>
      <c r="P603" s="3"/>
      <c r="Q603" s="3"/>
      <c r="R603" s="1"/>
    </row>
    <row r="604" spans="2:18" x14ac:dyDescent="0.2">
      <c r="B604">
        <v>592</v>
      </c>
      <c r="C604" s="1">
        <v>0.20918022455186697</v>
      </c>
      <c r="D604" s="1">
        <f t="shared" si="73"/>
        <v>99.551820806957991</v>
      </c>
      <c r="E604" s="18">
        <f t="shared" si="72"/>
        <v>-19.551820806957991</v>
      </c>
      <c r="F604" s="1">
        <f t="shared" si="78"/>
        <v>80</v>
      </c>
      <c r="G604" s="9">
        <f t="shared" si="74"/>
        <v>0</v>
      </c>
      <c r="H604" s="9">
        <f t="shared" si="75"/>
        <v>80</v>
      </c>
      <c r="I604" s="9">
        <f t="shared" si="76"/>
        <v>0</v>
      </c>
      <c r="J604" s="9">
        <f t="shared" si="77"/>
        <v>0</v>
      </c>
      <c r="K604" s="1">
        <f t="shared" si="79"/>
        <v>80</v>
      </c>
      <c r="L604" s="1"/>
      <c r="M604" s="3"/>
      <c r="N604" s="3"/>
      <c r="O604" s="3"/>
      <c r="P604" s="3"/>
      <c r="Q604" s="3"/>
      <c r="R604" s="1"/>
    </row>
    <row r="605" spans="2:18" x14ac:dyDescent="0.2">
      <c r="B605">
        <v>593</v>
      </c>
      <c r="C605" s="1">
        <v>0.21457831124742591</v>
      </c>
      <c r="D605" s="1">
        <f t="shared" si="73"/>
        <v>99.874777144178182</v>
      </c>
      <c r="E605" s="18">
        <f t="shared" si="72"/>
        <v>-19.874777144178182</v>
      </c>
      <c r="F605" s="1">
        <f t="shared" si="78"/>
        <v>80</v>
      </c>
      <c r="G605" s="9">
        <f t="shared" si="74"/>
        <v>0</v>
      </c>
      <c r="H605" s="9">
        <f t="shared" si="75"/>
        <v>80</v>
      </c>
      <c r="I605" s="9">
        <f t="shared" si="76"/>
        <v>0</v>
      </c>
      <c r="J605" s="9">
        <f t="shared" si="77"/>
        <v>0</v>
      </c>
      <c r="K605" s="1">
        <f t="shared" si="79"/>
        <v>80</v>
      </c>
      <c r="L605" s="1"/>
      <c r="M605" s="3"/>
      <c r="N605" s="3"/>
      <c r="O605" s="3"/>
      <c r="P605" s="3"/>
      <c r="Q605" s="3"/>
      <c r="R605" s="1"/>
    </row>
    <row r="606" spans="2:18" x14ac:dyDescent="0.2">
      <c r="B606">
        <v>594</v>
      </c>
      <c r="C606" s="1">
        <v>0.21468121965865042</v>
      </c>
      <c r="D606" s="1">
        <f t="shared" si="73"/>
        <v>99.880944107348341</v>
      </c>
      <c r="E606" s="18">
        <f t="shared" si="72"/>
        <v>-19.880944107348341</v>
      </c>
      <c r="F606" s="1">
        <f t="shared" si="78"/>
        <v>80</v>
      </c>
      <c r="G606" s="9">
        <f t="shared" si="74"/>
        <v>0</v>
      </c>
      <c r="H606" s="9">
        <f t="shared" si="75"/>
        <v>80</v>
      </c>
      <c r="I606" s="9">
        <f t="shared" si="76"/>
        <v>0</v>
      </c>
      <c r="J606" s="9">
        <f t="shared" si="77"/>
        <v>0</v>
      </c>
      <c r="K606" s="1">
        <f t="shared" si="79"/>
        <v>80</v>
      </c>
      <c r="L606" s="1"/>
      <c r="M606" s="3"/>
      <c r="N606" s="3"/>
      <c r="O606" s="3"/>
      <c r="P606" s="3"/>
      <c r="Q606" s="3"/>
      <c r="R606" s="1"/>
    </row>
    <row r="607" spans="2:18" x14ac:dyDescent="0.2">
      <c r="B607">
        <v>595</v>
      </c>
      <c r="C607" s="1">
        <v>0.21650536339658663</v>
      </c>
      <c r="D607" s="1">
        <f t="shared" si="73"/>
        <v>99.990322272117496</v>
      </c>
      <c r="E607" s="18">
        <f t="shared" si="72"/>
        <v>-19.990322272117496</v>
      </c>
      <c r="F607" s="1">
        <f t="shared" si="78"/>
        <v>80</v>
      </c>
      <c r="G607" s="9">
        <f t="shared" si="74"/>
        <v>0</v>
      </c>
      <c r="H607" s="9">
        <f t="shared" si="75"/>
        <v>80</v>
      </c>
      <c r="I607" s="9">
        <f t="shared" si="76"/>
        <v>0</v>
      </c>
      <c r="J607" s="9">
        <f t="shared" si="77"/>
        <v>0</v>
      </c>
      <c r="K607" s="1">
        <f t="shared" si="79"/>
        <v>80</v>
      </c>
      <c r="L607" s="1"/>
      <c r="M607" s="3"/>
      <c r="N607" s="3"/>
      <c r="O607" s="3"/>
      <c r="P607" s="3"/>
      <c r="Q607" s="3"/>
      <c r="R607" s="1"/>
    </row>
    <row r="608" spans="2:18" x14ac:dyDescent="0.2">
      <c r="B608">
        <v>596</v>
      </c>
      <c r="C608" s="1">
        <v>0.2195805467265439</v>
      </c>
      <c r="D608" s="1">
        <f t="shared" si="73"/>
        <v>100.17498572524477</v>
      </c>
      <c r="E608" s="18">
        <f t="shared" si="72"/>
        <v>-20.174985725244767</v>
      </c>
      <c r="F608" s="1">
        <f t="shared" si="78"/>
        <v>80</v>
      </c>
      <c r="G608" s="9">
        <f t="shared" si="74"/>
        <v>0</v>
      </c>
      <c r="H608" s="9">
        <f t="shared" si="75"/>
        <v>80</v>
      </c>
      <c r="I608" s="9">
        <f t="shared" si="76"/>
        <v>0</v>
      </c>
      <c r="J608" s="9">
        <f t="shared" si="77"/>
        <v>0</v>
      </c>
      <c r="K608" s="1">
        <f t="shared" si="79"/>
        <v>80</v>
      </c>
      <c r="L608" s="1"/>
      <c r="M608" s="3"/>
      <c r="N608" s="3"/>
      <c r="O608" s="3"/>
      <c r="P608" s="3"/>
      <c r="Q608" s="3"/>
      <c r="R608" s="1"/>
    </row>
    <row r="609" spans="2:18" x14ac:dyDescent="0.2">
      <c r="B609">
        <v>597</v>
      </c>
      <c r="C609" s="1">
        <v>0.22068261790970883</v>
      </c>
      <c r="D609" s="1">
        <f t="shared" si="73"/>
        <v>100.24124760944939</v>
      </c>
      <c r="E609" s="18">
        <f t="shared" si="72"/>
        <v>-20.241247609449388</v>
      </c>
      <c r="F609" s="1">
        <f t="shared" si="78"/>
        <v>80</v>
      </c>
      <c r="G609" s="9">
        <f t="shared" si="74"/>
        <v>0</v>
      </c>
      <c r="H609" s="9">
        <f t="shared" si="75"/>
        <v>80</v>
      </c>
      <c r="I609" s="9">
        <f t="shared" si="76"/>
        <v>0</v>
      </c>
      <c r="J609" s="9">
        <f t="shared" si="77"/>
        <v>0</v>
      </c>
      <c r="K609" s="1">
        <f t="shared" si="79"/>
        <v>80</v>
      </c>
      <c r="L609" s="1"/>
      <c r="M609" s="3"/>
      <c r="N609" s="3"/>
      <c r="O609" s="3"/>
      <c r="P609" s="3"/>
      <c r="Q609" s="3"/>
      <c r="R609" s="1"/>
    </row>
    <row r="610" spans="2:18" x14ac:dyDescent="0.2">
      <c r="B610">
        <v>598</v>
      </c>
      <c r="C610" s="1">
        <v>0.2236503472806331</v>
      </c>
      <c r="D610" s="1">
        <f t="shared" si="73"/>
        <v>100.41989995661598</v>
      </c>
      <c r="E610" s="18">
        <f t="shared" si="72"/>
        <v>-20.419899956615978</v>
      </c>
      <c r="F610" s="1">
        <f t="shared" si="78"/>
        <v>80</v>
      </c>
      <c r="G610" s="9">
        <f t="shared" si="74"/>
        <v>0</v>
      </c>
      <c r="H610" s="9">
        <f t="shared" si="75"/>
        <v>80</v>
      </c>
      <c r="I610" s="9">
        <f t="shared" si="76"/>
        <v>0</v>
      </c>
      <c r="J610" s="9">
        <f t="shared" si="77"/>
        <v>0</v>
      </c>
      <c r="K610" s="1">
        <f t="shared" si="79"/>
        <v>80</v>
      </c>
      <c r="L610" s="1"/>
      <c r="M610" s="3"/>
      <c r="N610" s="3"/>
      <c r="O610" s="3"/>
      <c r="P610" s="3"/>
      <c r="Q610" s="3"/>
      <c r="R610" s="1"/>
    </row>
    <row r="611" spans="2:18" x14ac:dyDescent="0.2">
      <c r="B611">
        <v>599</v>
      </c>
      <c r="C611" s="1">
        <v>0.22514587317213458</v>
      </c>
      <c r="D611" s="1">
        <f t="shared" si="73"/>
        <v>100.51004873276008</v>
      </c>
      <c r="E611" s="18">
        <f t="shared" si="72"/>
        <v>-20.510048732760083</v>
      </c>
      <c r="F611" s="1">
        <f t="shared" si="78"/>
        <v>80</v>
      </c>
      <c r="G611" s="9">
        <f t="shared" si="74"/>
        <v>0</v>
      </c>
      <c r="H611" s="9">
        <f t="shared" si="75"/>
        <v>80</v>
      </c>
      <c r="I611" s="9">
        <f t="shared" si="76"/>
        <v>0</v>
      </c>
      <c r="J611" s="9">
        <f t="shared" si="77"/>
        <v>0</v>
      </c>
      <c r="K611" s="1">
        <f t="shared" si="79"/>
        <v>80</v>
      </c>
      <c r="L611" s="1"/>
      <c r="M611" s="3"/>
      <c r="N611" s="3"/>
      <c r="O611" s="3"/>
      <c r="P611" s="3"/>
      <c r="Q611" s="3"/>
      <c r="R611" s="1"/>
    </row>
    <row r="612" spans="2:18" x14ac:dyDescent="0.2">
      <c r="B612">
        <v>600</v>
      </c>
      <c r="C612" s="1">
        <v>0.22892737917258421</v>
      </c>
      <c r="D612" s="1">
        <f t="shared" si="73"/>
        <v>100.73835524898942</v>
      </c>
      <c r="E612" s="18">
        <f t="shared" si="72"/>
        <v>-20.738355248989421</v>
      </c>
      <c r="F612" s="1">
        <f t="shared" si="78"/>
        <v>80</v>
      </c>
      <c r="G612" s="9">
        <f t="shared" si="74"/>
        <v>0</v>
      </c>
      <c r="H612" s="9">
        <f t="shared" si="75"/>
        <v>80</v>
      </c>
      <c r="I612" s="9">
        <f t="shared" si="76"/>
        <v>0</v>
      </c>
      <c r="J612" s="9">
        <f t="shared" si="77"/>
        <v>0</v>
      </c>
      <c r="K612" s="1">
        <f t="shared" si="79"/>
        <v>80</v>
      </c>
      <c r="L612" s="1"/>
      <c r="M612" s="3"/>
      <c r="N612" s="3"/>
      <c r="O612" s="3"/>
      <c r="P612" s="3"/>
      <c r="Q612" s="3"/>
      <c r="R612" s="1"/>
    </row>
    <row r="613" spans="2:18" x14ac:dyDescent="0.2">
      <c r="B613">
        <v>601</v>
      </c>
      <c r="C613" s="1">
        <v>0.22905055893517903</v>
      </c>
      <c r="D613" s="1">
        <f t="shared" si="73"/>
        <v>100.74580088014162</v>
      </c>
      <c r="E613" s="18">
        <f t="shared" si="72"/>
        <v>-20.745800880141616</v>
      </c>
      <c r="F613" s="1">
        <f t="shared" si="78"/>
        <v>80</v>
      </c>
      <c r="G613" s="9">
        <f t="shared" si="74"/>
        <v>0</v>
      </c>
      <c r="H613" s="9">
        <f t="shared" si="75"/>
        <v>80</v>
      </c>
      <c r="I613" s="9">
        <f t="shared" si="76"/>
        <v>0</v>
      </c>
      <c r="J613" s="9">
        <f t="shared" si="77"/>
        <v>0</v>
      </c>
      <c r="K613" s="1">
        <f t="shared" si="79"/>
        <v>80</v>
      </c>
      <c r="L613" s="1"/>
      <c r="M613" s="3"/>
      <c r="N613" s="3"/>
      <c r="O613" s="3"/>
      <c r="P613" s="3"/>
      <c r="Q613" s="3"/>
      <c r="R613" s="1"/>
    </row>
    <row r="614" spans="2:18" x14ac:dyDescent="0.2">
      <c r="B614">
        <v>602</v>
      </c>
      <c r="C614" s="1">
        <v>0.23018655305634897</v>
      </c>
      <c r="D614" s="1">
        <f t="shared" si="73"/>
        <v>100.8144922699062</v>
      </c>
      <c r="E614" s="18">
        <f t="shared" si="72"/>
        <v>-20.814492269906196</v>
      </c>
      <c r="F614" s="1">
        <f t="shared" si="78"/>
        <v>80</v>
      </c>
      <c r="G614" s="9">
        <f t="shared" si="74"/>
        <v>0</v>
      </c>
      <c r="H614" s="9">
        <f t="shared" si="75"/>
        <v>80</v>
      </c>
      <c r="I614" s="9">
        <f t="shared" si="76"/>
        <v>0</v>
      </c>
      <c r="J614" s="9">
        <f t="shared" si="77"/>
        <v>0</v>
      </c>
      <c r="K614" s="1">
        <f t="shared" si="79"/>
        <v>80</v>
      </c>
      <c r="L614" s="1"/>
      <c r="M614" s="3"/>
      <c r="N614" s="3"/>
      <c r="O614" s="3"/>
      <c r="P614" s="3"/>
      <c r="Q614" s="3"/>
      <c r="R614" s="1"/>
    </row>
    <row r="615" spans="2:18" x14ac:dyDescent="0.2">
      <c r="B615">
        <v>603</v>
      </c>
      <c r="C615" s="1">
        <v>0.24279895645487762</v>
      </c>
      <c r="D615" s="1">
        <f t="shared" si="73"/>
        <v>101.58029402250833</v>
      </c>
      <c r="E615" s="18">
        <f t="shared" si="72"/>
        <v>-21.580294022508326</v>
      </c>
      <c r="F615" s="1">
        <f t="shared" si="78"/>
        <v>80</v>
      </c>
      <c r="G615" s="9">
        <f t="shared" si="74"/>
        <v>0</v>
      </c>
      <c r="H615" s="9">
        <f t="shared" si="75"/>
        <v>80</v>
      </c>
      <c r="I615" s="9">
        <f t="shared" si="76"/>
        <v>0</v>
      </c>
      <c r="J615" s="9">
        <f t="shared" si="77"/>
        <v>0</v>
      </c>
      <c r="K615" s="1">
        <f t="shared" si="79"/>
        <v>80</v>
      </c>
      <c r="L615" s="1"/>
      <c r="M615" s="3"/>
      <c r="N615" s="3"/>
      <c r="O615" s="3"/>
      <c r="P615" s="3"/>
      <c r="Q615" s="3"/>
      <c r="R615" s="1"/>
    </row>
    <row r="616" spans="2:18" x14ac:dyDescent="0.2">
      <c r="B616">
        <v>604</v>
      </c>
      <c r="C616" s="1">
        <v>0.2433745469611959</v>
      </c>
      <c r="D616" s="1">
        <f t="shared" si="73"/>
        <v>101.61538127264704</v>
      </c>
      <c r="E616" s="18">
        <f t="shared" si="72"/>
        <v>-21.615381272647042</v>
      </c>
      <c r="F616" s="1">
        <f t="shared" si="78"/>
        <v>80</v>
      </c>
      <c r="G616" s="9">
        <f t="shared" si="74"/>
        <v>0</v>
      </c>
      <c r="H616" s="9">
        <f t="shared" si="75"/>
        <v>80</v>
      </c>
      <c r="I616" s="9">
        <f t="shared" si="76"/>
        <v>0</v>
      </c>
      <c r="J616" s="9">
        <f t="shared" si="77"/>
        <v>0</v>
      </c>
      <c r="K616" s="1">
        <f t="shared" si="79"/>
        <v>80</v>
      </c>
      <c r="L616" s="1"/>
      <c r="M616" s="3"/>
      <c r="N616" s="3"/>
      <c r="O616" s="3"/>
      <c r="P616" s="3"/>
      <c r="Q616" s="3"/>
      <c r="R616" s="1"/>
    </row>
    <row r="617" spans="2:18" x14ac:dyDescent="0.2">
      <c r="B617">
        <v>605</v>
      </c>
      <c r="C617" s="1">
        <v>0.24586205592524746</v>
      </c>
      <c r="D617" s="1">
        <f t="shared" si="73"/>
        <v>101.76715600985948</v>
      </c>
      <c r="E617" s="18">
        <f t="shared" si="72"/>
        <v>-21.767156009859477</v>
      </c>
      <c r="F617" s="1">
        <f t="shared" si="78"/>
        <v>80</v>
      </c>
      <c r="G617" s="9">
        <f t="shared" si="74"/>
        <v>0</v>
      </c>
      <c r="H617" s="9">
        <f t="shared" si="75"/>
        <v>80</v>
      </c>
      <c r="I617" s="9">
        <f t="shared" si="76"/>
        <v>0</v>
      </c>
      <c r="J617" s="9">
        <f t="shared" si="77"/>
        <v>0</v>
      </c>
      <c r="K617" s="1">
        <f t="shared" si="79"/>
        <v>80</v>
      </c>
      <c r="L617" s="1"/>
      <c r="M617" s="3"/>
      <c r="N617" s="3"/>
      <c r="O617" s="3"/>
      <c r="P617" s="3"/>
      <c r="Q617" s="3"/>
      <c r="R617" s="1"/>
    </row>
    <row r="618" spans="2:18" x14ac:dyDescent="0.2">
      <c r="B618">
        <v>606</v>
      </c>
      <c r="C618" s="1">
        <v>0.2483753476614681</v>
      </c>
      <c r="D618" s="1">
        <f t="shared" si="73"/>
        <v>101.92073410805705</v>
      </c>
      <c r="E618" s="18">
        <f t="shared" si="72"/>
        <v>-21.920734108057047</v>
      </c>
      <c r="F618" s="1">
        <f t="shared" si="78"/>
        <v>80</v>
      </c>
      <c r="G618" s="9">
        <f t="shared" si="74"/>
        <v>0</v>
      </c>
      <c r="H618" s="9">
        <f t="shared" si="75"/>
        <v>80</v>
      </c>
      <c r="I618" s="9">
        <f t="shared" si="76"/>
        <v>0</v>
      </c>
      <c r="J618" s="9">
        <f t="shared" si="77"/>
        <v>0</v>
      </c>
      <c r="K618" s="1">
        <f t="shared" si="79"/>
        <v>80</v>
      </c>
      <c r="L618" s="1"/>
      <c r="M618" s="3"/>
      <c r="N618" s="3"/>
      <c r="O618" s="3"/>
      <c r="P618" s="3"/>
      <c r="Q618" s="3"/>
      <c r="R618" s="1"/>
    </row>
    <row r="619" spans="2:18" x14ac:dyDescent="0.2">
      <c r="B619">
        <v>607</v>
      </c>
      <c r="C619" s="1">
        <v>0.25118426317438719</v>
      </c>
      <c r="D619" s="1">
        <f t="shared" si="73"/>
        <v>102.09265097602605</v>
      </c>
      <c r="E619" s="18">
        <f t="shared" si="72"/>
        <v>-22.09265097602605</v>
      </c>
      <c r="F619" s="1">
        <f t="shared" si="78"/>
        <v>80</v>
      </c>
      <c r="G619" s="9">
        <f t="shared" si="74"/>
        <v>0</v>
      </c>
      <c r="H619" s="9">
        <f t="shared" si="75"/>
        <v>80</v>
      </c>
      <c r="I619" s="9">
        <f t="shared" si="76"/>
        <v>0</v>
      </c>
      <c r="J619" s="9">
        <f t="shared" si="77"/>
        <v>0</v>
      </c>
      <c r="K619" s="1">
        <f t="shared" si="79"/>
        <v>80</v>
      </c>
      <c r="L619" s="1"/>
      <c r="M619" s="3"/>
      <c r="N619" s="3"/>
      <c r="O619" s="3"/>
      <c r="P619" s="3"/>
      <c r="Q619" s="3"/>
      <c r="R619" s="1"/>
    </row>
    <row r="620" spans="2:18" x14ac:dyDescent="0.2">
      <c r="B620">
        <v>608</v>
      </c>
      <c r="C620" s="1">
        <v>0.25175157977197499</v>
      </c>
      <c r="D620" s="1">
        <f t="shared" si="73"/>
        <v>102.12740820443047</v>
      </c>
      <c r="E620" s="18">
        <f t="shared" si="72"/>
        <v>-22.127408204430466</v>
      </c>
      <c r="F620" s="1">
        <f t="shared" si="78"/>
        <v>80</v>
      </c>
      <c r="G620" s="9">
        <f t="shared" si="74"/>
        <v>0</v>
      </c>
      <c r="H620" s="9">
        <f t="shared" si="75"/>
        <v>80</v>
      </c>
      <c r="I620" s="9">
        <f t="shared" si="76"/>
        <v>0</v>
      </c>
      <c r="J620" s="9">
        <f t="shared" si="77"/>
        <v>0</v>
      </c>
      <c r="K620" s="1">
        <f t="shared" si="79"/>
        <v>80</v>
      </c>
      <c r="L620" s="1"/>
      <c r="M620" s="3"/>
      <c r="N620" s="3"/>
      <c r="O620" s="3"/>
      <c r="P620" s="3"/>
      <c r="Q620" s="3"/>
      <c r="R620" s="1"/>
    </row>
    <row r="621" spans="2:18" x14ac:dyDescent="0.2">
      <c r="B621">
        <v>609</v>
      </c>
      <c r="C621" s="1">
        <v>0.25483878768226104</v>
      </c>
      <c r="D621" s="1">
        <f t="shared" si="73"/>
        <v>102.31675664316973</v>
      </c>
      <c r="E621" s="18">
        <f t="shared" si="72"/>
        <v>-22.316756643169725</v>
      </c>
      <c r="F621" s="1">
        <f t="shared" si="78"/>
        <v>80</v>
      </c>
      <c r="G621" s="9">
        <f t="shared" si="74"/>
        <v>0</v>
      </c>
      <c r="H621" s="9">
        <f t="shared" si="75"/>
        <v>80</v>
      </c>
      <c r="I621" s="9">
        <f t="shared" si="76"/>
        <v>0</v>
      </c>
      <c r="J621" s="9">
        <f t="shared" si="77"/>
        <v>0</v>
      </c>
      <c r="K621" s="1">
        <f t="shared" si="79"/>
        <v>80</v>
      </c>
      <c r="L621" s="1"/>
      <c r="M621" s="3"/>
      <c r="N621" s="3"/>
      <c r="O621" s="3"/>
      <c r="P621" s="3"/>
      <c r="Q621" s="3"/>
      <c r="R621" s="1"/>
    </row>
    <row r="622" spans="2:18" x14ac:dyDescent="0.2">
      <c r="B622">
        <v>610</v>
      </c>
      <c r="C622" s="1">
        <v>0.25510972607660043</v>
      </c>
      <c r="D622" s="1">
        <f t="shared" si="73"/>
        <v>102.33339091784752</v>
      </c>
      <c r="E622" s="18">
        <f t="shared" si="72"/>
        <v>-22.333390917847524</v>
      </c>
      <c r="F622" s="1">
        <f t="shared" si="78"/>
        <v>80</v>
      </c>
      <c r="G622" s="9">
        <f t="shared" si="74"/>
        <v>0</v>
      </c>
      <c r="H622" s="9">
        <f t="shared" si="75"/>
        <v>80</v>
      </c>
      <c r="I622" s="9">
        <f t="shared" si="76"/>
        <v>0</v>
      </c>
      <c r="J622" s="9">
        <f t="shared" si="77"/>
        <v>0</v>
      </c>
      <c r="K622" s="1">
        <f t="shared" si="79"/>
        <v>80</v>
      </c>
      <c r="L622" s="1"/>
      <c r="M622" s="3"/>
      <c r="N622" s="3"/>
      <c r="O622" s="3"/>
      <c r="P622" s="3"/>
      <c r="Q622" s="3"/>
      <c r="R622" s="1"/>
    </row>
    <row r="623" spans="2:18" x14ac:dyDescent="0.2">
      <c r="B623">
        <v>611</v>
      </c>
      <c r="C623" s="1">
        <v>0.25742138374864343</v>
      </c>
      <c r="D623" s="1">
        <f t="shared" si="73"/>
        <v>102.475425256441</v>
      </c>
      <c r="E623" s="18">
        <f t="shared" si="72"/>
        <v>-22.475425256441</v>
      </c>
      <c r="F623" s="1">
        <f t="shared" si="78"/>
        <v>80</v>
      </c>
      <c r="G623" s="9">
        <f t="shared" si="74"/>
        <v>0</v>
      </c>
      <c r="H623" s="9">
        <f t="shared" si="75"/>
        <v>80</v>
      </c>
      <c r="I623" s="9">
        <f t="shared" si="76"/>
        <v>0</v>
      </c>
      <c r="J623" s="9">
        <f t="shared" si="77"/>
        <v>0</v>
      </c>
      <c r="K623" s="1">
        <f t="shared" si="79"/>
        <v>80</v>
      </c>
      <c r="L623" s="1"/>
      <c r="M623" s="3"/>
      <c r="N623" s="3"/>
      <c r="O623" s="3"/>
      <c r="P623" s="3"/>
      <c r="Q623" s="3"/>
      <c r="R623" s="1"/>
    </row>
    <row r="624" spans="2:18" x14ac:dyDescent="0.2">
      <c r="B624">
        <v>612</v>
      </c>
      <c r="C624" s="1">
        <v>0.2575797158294747</v>
      </c>
      <c r="D624" s="1">
        <f t="shared" si="73"/>
        <v>102.48516080725764</v>
      </c>
      <c r="E624" s="18">
        <f t="shared" si="72"/>
        <v>-22.485160807257643</v>
      </c>
      <c r="F624" s="1">
        <f t="shared" si="78"/>
        <v>80</v>
      </c>
      <c r="G624" s="9">
        <f t="shared" si="74"/>
        <v>0</v>
      </c>
      <c r="H624" s="9">
        <f t="shared" si="75"/>
        <v>80</v>
      </c>
      <c r="I624" s="9">
        <f t="shared" si="76"/>
        <v>0</v>
      </c>
      <c r="J624" s="9">
        <f t="shared" si="77"/>
        <v>0</v>
      </c>
      <c r="K624" s="1">
        <f t="shared" si="79"/>
        <v>80</v>
      </c>
      <c r="L624" s="1"/>
      <c r="M624" s="3"/>
      <c r="N624" s="3"/>
      <c r="O624" s="3"/>
      <c r="P624" s="3"/>
      <c r="Q624" s="3"/>
      <c r="R624" s="1"/>
    </row>
    <row r="625" spans="2:18" x14ac:dyDescent="0.2">
      <c r="B625">
        <v>613</v>
      </c>
      <c r="C625" s="1">
        <v>0.2633910826113956</v>
      </c>
      <c r="D625" s="1">
        <f t="shared" si="73"/>
        <v>102.84313185037767</v>
      </c>
      <c r="E625" s="18">
        <f t="shared" si="72"/>
        <v>-22.843131850377674</v>
      </c>
      <c r="F625" s="1">
        <f t="shared" si="78"/>
        <v>80</v>
      </c>
      <c r="G625" s="9">
        <f t="shared" si="74"/>
        <v>0</v>
      </c>
      <c r="H625" s="9">
        <f t="shared" si="75"/>
        <v>80</v>
      </c>
      <c r="I625" s="9">
        <f t="shared" si="76"/>
        <v>0</v>
      </c>
      <c r="J625" s="9">
        <f t="shared" si="77"/>
        <v>0</v>
      </c>
      <c r="K625" s="1">
        <f t="shared" si="79"/>
        <v>80</v>
      </c>
      <c r="L625" s="1"/>
      <c r="M625" s="3"/>
      <c r="N625" s="3"/>
      <c r="O625" s="3"/>
      <c r="P625" s="3"/>
      <c r="Q625" s="3"/>
      <c r="R625" s="1"/>
    </row>
    <row r="626" spans="2:18" x14ac:dyDescent="0.2">
      <c r="B626">
        <v>614</v>
      </c>
      <c r="C626" s="1">
        <v>0.26417846936656236</v>
      </c>
      <c r="D626" s="1">
        <f t="shared" si="73"/>
        <v>102.89172972099701</v>
      </c>
      <c r="E626" s="18">
        <f t="shared" si="72"/>
        <v>-22.891729720997006</v>
      </c>
      <c r="F626" s="1">
        <f t="shared" si="78"/>
        <v>80</v>
      </c>
      <c r="G626" s="9">
        <f t="shared" si="74"/>
        <v>0</v>
      </c>
      <c r="H626" s="9">
        <f t="shared" si="75"/>
        <v>80</v>
      </c>
      <c r="I626" s="9">
        <f t="shared" si="76"/>
        <v>0</v>
      </c>
      <c r="J626" s="9">
        <f t="shared" si="77"/>
        <v>0</v>
      </c>
      <c r="K626" s="1">
        <f t="shared" si="79"/>
        <v>80</v>
      </c>
      <c r="L626" s="1"/>
      <c r="M626" s="3"/>
      <c r="N626" s="3"/>
      <c r="O626" s="3"/>
      <c r="P626" s="3"/>
      <c r="Q626" s="3"/>
      <c r="R626" s="1"/>
    </row>
    <row r="627" spans="2:18" x14ac:dyDescent="0.2">
      <c r="B627">
        <v>615</v>
      </c>
      <c r="C627" s="1">
        <v>0.26682675747172285</v>
      </c>
      <c r="D627" s="1">
        <f t="shared" si="73"/>
        <v>103.05535184849435</v>
      </c>
      <c r="E627" s="18">
        <f t="shared" si="72"/>
        <v>-23.055351848494354</v>
      </c>
      <c r="F627" s="1">
        <f t="shared" si="78"/>
        <v>80</v>
      </c>
      <c r="G627" s="9">
        <f t="shared" si="74"/>
        <v>0</v>
      </c>
      <c r="H627" s="9">
        <f t="shared" si="75"/>
        <v>80</v>
      </c>
      <c r="I627" s="9">
        <f t="shared" si="76"/>
        <v>0</v>
      </c>
      <c r="J627" s="9">
        <f t="shared" si="77"/>
        <v>0</v>
      </c>
      <c r="K627" s="1">
        <f t="shared" si="79"/>
        <v>80</v>
      </c>
      <c r="L627" s="1"/>
      <c r="M627" s="3"/>
      <c r="N627" s="3"/>
      <c r="O627" s="3"/>
      <c r="P627" s="3"/>
      <c r="Q627" s="3"/>
      <c r="R627" s="1"/>
    </row>
    <row r="628" spans="2:18" x14ac:dyDescent="0.2">
      <c r="B628">
        <v>616</v>
      </c>
      <c r="C628" s="1">
        <v>0.2706363313758206</v>
      </c>
      <c r="D628" s="1">
        <f t="shared" si="73"/>
        <v>103.2911794540738</v>
      </c>
      <c r="E628" s="18">
        <f t="shared" si="72"/>
        <v>-23.291179454073799</v>
      </c>
      <c r="F628" s="1">
        <f t="shared" si="78"/>
        <v>80</v>
      </c>
      <c r="G628" s="9">
        <f t="shared" si="74"/>
        <v>0</v>
      </c>
      <c r="H628" s="9">
        <f t="shared" si="75"/>
        <v>80</v>
      </c>
      <c r="I628" s="9">
        <f t="shared" si="76"/>
        <v>0</v>
      </c>
      <c r="J628" s="9">
        <f t="shared" si="77"/>
        <v>0</v>
      </c>
      <c r="K628" s="1">
        <f t="shared" si="79"/>
        <v>80</v>
      </c>
      <c r="L628" s="1"/>
      <c r="M628" s="3"/>
      <c r="N628" s="3"/>
      <c r="O628" s="3"/>
      <c r="P628" s="3"/>
      <c r="Q628" s="3"/>
      <c r="R628" s="1"/>
    </row>
    <row r="629" spans="2:18" x14ac:dyDescent="0.2">
      <c r="B629">
        <v>617</v>
      </c>
      <c r="C629" s="1">
        <v>0.27348482345287201</v>
      </c>
      <c r="D629" s="1">
        <f t="shared" si="73"/>
        <v>103.46786486094256</v>
      </c>
      <c r="E629" s="18">
        <f t="shared" si="72"/>
        <v>-23.467864860942555</v>
      </c>
      <c r="F629" s="1">
        <f t="shared" si="78"/>
        <v>80</v>
      </c>
      <c r="G629" s="9">
        <f t="shared" si="74"/>
        <v>0</v>
      </c>
      <c r="H629" s="9">
        <f t="shared" si="75"/>
        <v>80</v>
      </c>
      <c r="I629" s="9">
        <f t="shared" si="76"/>
        <v>0</v>
      </c>
      <c r="J629" s="9">
        <f t="shared" si="77"/>
        <v>0</v>
      </c>
      <c r="K629" s="1">
        <f t="shared" si="79"/>
        <v>80</v>
      </c>
      <c r="L629" s="1"/>
      <c r="M629" s="3"/>
      <c r="N629" s="3"/>
      <c r="O629" s="3"/>
      <c r="P629" s="3"/>
      <c r="Q629" s="3"/>
      <c r="R629" s="1"/>
    </row>
    <row r="630" spans="2:18" x14ac:dyDescent="0.2">
      <c r="B630">
        <v>618</v>
      </c>
      <c r="C630" s="1">
        <v>0.27369520314406459</v>
      </c>
      <c r="D630" s="1">
        <f t="shared" si="73"/>
        <v>103.48092620775253</v>
      </c>
      <c r="E630" s="18">
        <f t="shared" si="72"/>
        <v>-23.480926207752532</v>
      </c>
      <c r="F630" s="1">
        <f t="shared" si="78"/>
        <v>80</v>
      </c>
      <c r="G630" s="9">
        <f t="shared" si="74"/>
        <v>0</v>
      </c>
      <c r="H630" s="9">
        <f t="shared" si="75"/>
        <v>80</v>
      </c>
      <c r="I630" s="9">
        <f t="shared" si="76"/>
        <v>0</v>
      </c>
      <c r="J630" s="9">
        <f t="shared" si="77"/>
        <v>0</v>
      </c>
      <c r="K630" s="1">
        <f t="shared" si="79"/>
        <v>80</v>
      </c>
      <c r="L630" s="1"/>
      <c r="M630" s="3"/>
      <c r="N630" s="3"/>
      <c r="O630" s="3"/>
      <c r="P630" s="3"/>
      <c r="Q630" s="3"/>
      <c r="R630" s="1"/>
    </row>
    <row r="631" spans="2:18" x14ac:dyDescent="0.2">
      <c r="B631">
        <v>619</v>
      </c>
      <c r="C631" s="1">
        <v>0.27466339883962199</v>
      </c>
      <c r="D631" s="1">
        <f t="shared" si="73"/>
        <v>103.54105754412781</v>
      </c>
      <c r="E631" s="18">
        <f t="shared" si="72"/>
        <v>-23.54105754412781</v>
      </c>
      <c r="F631" s="1">
        <f t="shared" si="78"/>
        <v>80</v>
      </c>
      <c r="G631" s="9">
        <f t="shared" si="74"/>
        <v>0</v>
      </c>
      <c r="H631" s="9">
        <f t="shared" si="75"/>
        <v>80</v>
      </c>
      <c r="I631" s="9">
        <f t="shared" si="76"/>
        <v>0</v>
      </c>
      <c r="J631" s="9">
        <f t="shared" si="77"/>
        <v>0</v>
      </c>
      <c r="K631" s="1">
        <f t="shared" si="79"/>
        <v>80</v>
      </c>
      <c r="L631" s="1"/>
      <c r="M631" s="3"/>
      <c r="N631" s="3"/>
      <c r="O631" s="3"/>
      <c r="P631" s="3"/>
      <c r="Q631" s="3"/>
      <c r="R631" s="1"/>
    </row>
    <row r="632" spans="2:18" x14ac:dyDescent="0.2">
      <c r="B632">
        <v>620</v>
      </c>
      <c r="C632" s="1">
        <v>0.27658721472117037</v>
      </c>
      <c r="D632" s="1">
        <f t="shared" si="73"/>
        <v>103.66064290745378</v>
      </c>
      <c r="E632" s="18">
        <f t="shared" ref="E632:E695" si="80">-MIN(D632-F,(-IF(AND(D632&gt;=F-dis, D632&lt;F), F-D632, IF(D632&gt;=F, $E$7, 0))))</f>
        <v>-23.660642907453777</v>
      </c>
      <c r="F632" s="1">
        <f t="shared" si="78"/>
        <v>80</v>
      </c>
      <c r="G632" s="9">
        <f t="shared" si="74"/>
        <v>0</v>
      </c>
      <c r="H632" s="9">
        <f t="shared" si="75"/>
        <v>80</v>
      </c>
      <c r="I632" s="9">
        <f t="shared" si="76"/>
        <v>0</v>
      </c>
      <c r="J632" s="9">
        <f t="shared" si="77"/>
        <v>0</v>
      </c>
      <c r="K632" s="1">
        <f t="shared" si="79"/>
        <v>80</v>
      </c>
      <c r="L632" s="1"/>
      <c r="M632" s="3"/>
      <c r="N632" s="3"/>
      <c r="O632" s="3"/>
      <c r="P632" s="3"/>
      <c r="Q632" s="3"/>
      <c r="R632" s="1"/>
    </row>
    <row r="633" spans="2:18" x14ac:dyDescent="0.2">
      <c r="B633">
        <v>621</v>
      </c>
      <c r="C633" s="1">
        <v>0.2801824723492814</v>
      </c>
      <c r="D633" s="1">
        <f t="shared" si="73"/>
        <v>103.88449629411629</v>
      </c>
      <c r="E633" s="18">
        <f t="shared" si="80"/>
        <v>-23.884496294116289</v>
      </c>
      <c r="F633" s="1">
        <f t="shared" si="78"/>
        <v>80</v>
      </c>
      <c r="G633" s="9">
        <f t="shared" si="74"/>
        <v>0</v>
      </c>
      <c r="H633" s="9">
        <f t="shared" si="75"/>
        <v>80</v>
      </c>
      <c r="I633" s="9">
        <f t="shared" si="76"/>
        <v>0</v>
      </c>
      <c r="J633" s="9">
        <f t="shared" si="77"/>
        <v>0</v>
      </c>
      <c r="K633" s="1">
        <f t="shared" si="79"/>
        <v>80</v>
      </c>
      <c r="L633" s="1"/>
      <c r="M633" s="3"/>
      <c r="N633" s="3"/>
      <c r="O633" s="3"/>
      <c r="P633" s="3"/>
      <c r="Q633" s="3"/>
      <c r="R633" s="1"/>
    </row>
    <row r="634" spans="2:18" x14ac:dyDescent="0.2">
      <c r="B634">
        <v>622</v>
      </c>
      <c r="C634" s="1">
        <v>0.28155811122233554</v>
      </c>
      <c r="D634" s="1">
        <f t="shared" si="73"/>
        <v>103.97027622075281</v>
      </c>
      <c r="E634" s="18">
        <f t="shared" si="80"/>
        <v>-23.970276220752808</v>
      </c>
      <c r="F634" s="1">
        <f t="shared" si="78"/>
        <v>80</v>
      </c>
      <c r="G634" s="9">
        <f t="shared" si="74"/>
        <v>0</v>
      </c>
      <c r="H634" s="9">
        <f t="shared" si="75"/>
        <v>80</v>
      </c>
      <c r="I634" s="9">
        <f t="shared" si="76"/>
        <v>0</v>
      </c>
      <c r="J634" s="9">
        <f t="shared" si="77"/>
        <v>0</v>
      </c>
      <c r="K634" s="1">
        <f t="shared" si="79"/>
        <v>80</v>
      </c>
      <c r="L634" s="1"/>
      <c r="M634" s="3"/>
      <c r="N634" s="3"/>
      <c r="O634" s="3"/>
      <c r="P634" s="3"/>
      <c r="Q634" s="3"/>
      <c r="R634" s="1"/>
    </row>
    <row r="635" spans="2:18" x14ac:dyDescent="0.2">
      <c r="B635">
        <v>623</v>
      </c>
      <c r="C635" s="1">
        <v>0.28231800951935632</v>
      </c>
      <c r="D635" s="1">
        <f t="shared" si="73"/>
        <v>104.01769113058876</v>
      </c>
      <c r="E635" s="18">
        <f t="shared" si="80"/>
        <v>-24.017691130588759</v>
      </c>
      <c r="F635" s="1">
        <f t="shared" si="78"/>
        <v>80</v>
      </c>
      <c r="G635" s="9">
        <f t="shared" si="74"/>
        <v>0</v>
      </c>
      <c r="H635" s="9">
        <f t="shared" si="75"/>
        <v>80</v>
      </c>
      <c r="I635" s="9">
        <f t="shared" si="76"/>
        <v>0</v>
      </c>
      <c r="J635" s="9">
        <f t="shared" si="77"/>
        <v>0</v>
      </c>
      <c r="K635" s="1">
        <f t="shared" si="79"/>
        <v>80</v>
      </c>
      <c r="L635" s="1"/>
      <c r="M635" s="3"/>
      <c r="N635" s="3"/>
      <c r="O635" s="3"/>
      <c r="P635" s="3"/>
      <c r="Q635" s="3"/>
      <c r="R635" s="1"/>
    </row>
    <row r="636" spans="2:18" x14ac:dyDescent="0.2">
      <c r="B636">
        <v>624</v>
      </c>
      <c r="C636" s="1">
        <v>0.2838683043704881</v>
      </c>
      <c r="D636" s="1">
        <f t="shared" si="73"/>
        <v>104.11449099870221</v>
      </c>
      <c r="E636" s="18">
        <f t="shared" si="80"/>
        <v>-24.114490998702209</v>
      </c>
      <c r="F636" s="1">
        <f t="shared" si="78"/>
        <v>80</v>
      </c>
      <c r="G636" s="9">
        <f t="shared" si="74"/>
        <v>0</v>
      </c>
      <c r="H636" s="9">
        <f t="shared" si="75"/>
        <v>80</v>
      </c>
      <c r="I636" s="9">
        <f t="shared" si="76"/>
        <v>0</v>
      </c>
      <c r="J636" s="9">
        <f t="shared" si="77"/>
        <v>0</v>
      </c>
      <c r="K636" s="1">
        <f t="shared" si="79"/>
        <v>80</v>
      </c>
      <c r="L636" s="1"/>
      <c r="M636" s="3"/>
      <c r="N636" s="3"/>
      <c r="O636" s="3"/>
      <c r="P636" s="3"/>
      <c r="Q636" s="3"/>
      <c r="R636" s="1"/>
    </row>
    <row r="637" spans="2:18" x14ac:dyDescent="0.2">
      <c r="B637">
        <v>625</v>
      </c>
      <c r="C637" s="1">
        <v>0.28472343325932165</v>
      </c>
      <c r="D637" s="1">
        <f t="shared" si="73"/>
        <v>104.16792349042974</v>
      </c>
      <c r="E637" s="18">
        <f t="shared" si="80"/>
        <v>-24.167923490429743</v>
      </c>
      <c r="F637" s="1">
        <f t="shared" si="78"/>
        <v>80</v>
      </c>
      <c r="G637" s="9">
        <f t="shared" si="74"/>
        <v>0</v>
      </c>
      <c r="H637" s="9">
        <f t="shared" si="75"/>
        <v>80</v>
      </c>
      <c r="I637" s="9">
        <f t="shared" si="76"/>
        <v>0</v>
      </c>
      <c r="J637" s="9">
        <f t="shared" si="77"/>
        <v>0</v>
      </c>
      <c r="K637" s="1">
        <f t="shared" si="79"/>
        <v>80</v>
      </c>
      <c r="L637" s="1"/>
      <c r="M637" s="3"/>
      <c r="N637" s="3"/>
      <c r="O637" s="3"/>
      <c r="P637" s="3"/>
      <c r="Q637" s="3"/>
      <c r="R637" s="1"/>
    </row>
    <row r="638" spans="2:18" x14ac:dyDescent="0.2">
      <c r="B638">
        <v>626</v>
      </c>
      <c r="C638" s="1">
        <v>0.28773678210238846</v>
      </c>
      <c r="D638" s="1">
        <f t="shared" si="73"/>
        <v>104.35643042526586</v>
      </c>
      <c r="E638" s="18">
        <f t="shared" si="80"/>
        <v>-24.356430425265856</v>
      </c>
      <c r="F638" s="1">
        <f t="shared" si="78"/>
        <v>80</v>
      </c>
      <c r="G638" s="9">
        <f t="shared" si="74"/>
        <v>0</v>
      </c>
      <c r="H638" s="9">
        <f t="shared" si="75"/>
        <v>80</v>
      </c>
      <c r="I638" s="9">
        <f t="shared" si="76"/>
        <v>0</v>
      </c>
      <c r="J638" s="9">
        <f t="shared" si="77"/>
        <v>0</v>
      </c>
      <c r="K638" s="1">
        <f t="shared" si="79"/>
        <v>80</v>
      </c>
      <c r="L638" s="1"/>
      <c r="M638" s="3"/>
      <c r="N638" s="3"/>
      <c r="O638" s="3"/>
      <c r="P638" s="3"/>
      <c r="Q638" s="3"/>
      <c r="R638" s="1"/>
    </row>
    <row r="639" spans="2:18" x14ac:dyDescent="0.2">
      <c r="B639">
        <v>627</v>
      </c>
      <c r="C639" s="1">
        <v>0.2885178885610426</v>
      </c>
      <c r="D639" s="1">
        <f t="shared" si="73"/>
        <v>104.40534997686812</v>
      </c>
      <c r="E639" s="18">
        <f t="shared" si="80"/>
        <v>-24.405349976868123</v>
      </c>
      <c r="F639" s="1">
        <f t="shared" si="78"/>
        <v>80</v>
      </c>
      <c r="G639" s="9">
        <f t="shared" si="74"/>
        <v>0</v>
      </c>
      <c r="H639" s="9">
        <f t="shared" si="75"/>
        <v>80</v>
      </c>
      <c r="I639" s="9">
        <f t="shared" si="76"/>
        <v>0</v>
      </c>
      <c r="J639" s="9">
        <f t="shared" si="77"/>
        <v>0</v>
      </c>
      <c r="K639" s="1">
        <f t="shared" si="79"/>
        <v>80</v>
      </c>
      <c r="L639" s="1"/>
      <c r="M639" s="3"/>
      <c r="N639" s="3"/>
      <c r="O639" s="3"/>
      <c r="P639" s="3"/>
      <c r="Q639" s="3"/>
      <c r="R639" s="1"/>
    </row>
    <row r="640" spans="2:18" x14ac:dyDescent="0.2">
      <c r="B640">
        <v>628</v>
      </c>
      <c r="C640" s="1">
        <v>0.28870999942519876</v>
      </c>
      <c r="D640" s="1">
        <f t="shared" si="73"/>
        <v>104.41738511168279</v>
      </c>
      <c r="E640" s="18">
        <f t="shared" si="80"/>
        <v>-24.41738511168279</v>
      </c>
      <c r="F640" s="1">
        <f t="shared" si="78"/>
        <v>80</v>
      </c>
      <c r="G640" s="9">
        <f t="shared" si="74"/>
        <v>0</v>
      </c>
      <c r="H640" s="9">
        <f t="shared" si="75"/>
        <v>80</v>
      </c>
      <c r="I640" s="9">
        <f t="shared" si="76"/>
        <v>0</v>
      </c>
      <c r="J640" s="9">
        <f t="shared" si="77"/>
        <v>0</v>
      </c>
      <c r="K640" s="1">
        <f t="shared" si="79"/>
        <v>80</v>
      </c>
      <c r="L640" s="1"/>
      <c r="M640" s="3"/>
      <c r="N640" s="3"/>
      <c r="O640" s="3"/>
      <c r="P640" s="3"/>
      <c r="Q640" s="3"/>
      <c r="R640" s="1"/>
    </row>
    <row r="641" spans="2:18" x14ac:dyDescent="0.2">
      <c r="B641">
        <v>629</v>
      </c>
      <c r="C641" s="1">
        <v>0.28910683890444727</v>
      </c>
      <c r="D641" s="1">
        <f t="shared" si="73"/>
        <v>104.44225023624357</v>
      </c>
      <c r="E641" s="18">
        <f t="shared" si="80"/>
        <v>-24.442250236243567</v>
      </c>
      <c r="F641" s="1">
        <f t="shared" si="78"/>
        <v>80</v>
      </c>
      <c r="G641" s="9">
        <f t="shared" si="74"/>
        <v>0</v>
      </c>
      <c r="H641" s="9">
        <f t="shared" si="75"/>
        <v>80</v>
      </c>
      <c r="I641" s="9">
        <f t="shared" si="76"/>
        <v>0</v>
      </c>
      <c r="J641" s="9">
        <f t="shared" si="77"/>
        <v>0</v>
      </c>
      <c r="K641" s="1">
        <f t="shared" si="79"/>
        <v>80</v>
      </c>
      <c r="L641" s="1"/>
      <c r="M641" s="3"/>
      <c r="N641" s="3"/>
      <c r="O641" s="3"/>
      <c r="P641" s="3"/>
      <c r="Q641" s="3"/>
      <c r="R641" s="1"/>
    </row>
    <row r="642" spans="2:18" x14ac:dyDescent="0.2">
      <c r="B642">
        <v>630</v>
      </c>
      <c r="C642" s="1">
        <v>0.29026174947100969</v>
      </c>
      <c r="D642" s="1">
        <f t="shared" si="73"/>
        <v>104.51464819233196</v>
      </c>
      <c r="E642" s="18">
        <f t="shared" si="80"/>
        <v>-24.514648192331961</v>
      </c>
      <c r="F642" s="1">
        <f t="shared" si="78"/>
        <v>80</v>
      </c>
      <c r="G642" s="9">
        <f t="shared" si="74"/>
        <v>0</v>
      </c>
      <c r="H642" s="9">
        <f t="shared" si="75"/>
        <v>80</v>
      </c>
      <c r="I642" s="9">
        <f t="shared" si="76"/>
        <v>0</v>
      </c>
      <c r="J642" s="9">
        <f t="shared" si="77"/>
        <v>0</v>
      </c>
      <c r="K642" s="1">
        <f t="shared" si="79"/>
        <v>80</v>
      </c>
      <c r="L642" s="1"/>
      <c r="M642" s="3"/>
      <c r="N642" s="3"/>
      <c r="O642" s="3"/>
      <c r="P642" s="3"/>
      <c r="Q642" s="3"/>
      <c r="R642" s="1"/>
    </row>
    <row r="643" spans="2:18" x14ac:dyDescent="0.2">
      <c r="B643">
        <v>631</v>
      </c>
      <c r="C643" s="1">
        <v>0.29602213247218945</v>
      </c>
      <c r="D643" s="1">
        <f t="shared" si="73"/>
        <v>104.87649979496216</v>
      </c>
      <c r="E643" s="18">
        <f t="shared" si="80"/>
        <v>-24.876499794962157</v>
      </c>
      <c r="F643" s="1">
        <f t="shared" si="78"/>
        <v>80</v>
      </c>
      <c r="G643" s="9">
        <f t="shared" si="74"/>
        <v>0</v>
      </c>
      <c r="H643" s="9">
        <f t="shared" si="75"/>
        <v>80</v>
      </c>
      <c r="I643" s="9">
        <f t="shared" si="76"/>
        <v>0</v>
      </c>
      <c r="J643" s="9">
        <f t="shared" si="77"/>
        <v>0</v>
      </c>
      <c r="K643" s="1">
        <f t="shared" si="79"/>
        <v>80</v>
      </c>
      <c r="L643" s="1"/>
      <c r="M643" s="3"/>
      <c r="N643" s="3"/>
      <c r="O643" s="3"/>
      <c r="P643" s="3"/>
      <c r="Q643" s="3"/>
      <c r="R643" s="1"/>
    </row>
    <row r="644" spans="2:18" x14ac:dyDescent="0.2">
      <c r="B644">
        <v>632</v>
      </c>
      <c r="C644" s="1">
        <v>0.29851889648949514</v>
      </c>
      <c r="D644" s="1">
        <f t="shared" si="73"/>
        <v>105.03372865713712</v>
      </c>
      <c r="E644" s="18">
        <f t="shared" si="80"/>
        <v>-25.033728657137118</v>
      </c>
      <c r="F644" s="1">
        <f t="shared" si="78"/>
        <v>80</v>
      </c>
      <c r="G644" s="9">
        <f t="shared" si="74"/>
        <v>0</v>
      </c>
      <c r="H644" s="9">
        <f t="shared" si="75"/>
        <v>80</v>
      </c>
      <c r="I644" s="9">
        <f t="shared" si="76"/>
        <v>0</v>
      </c>
      <c r="J644" s="9">
        <f t="shared" si="77"/>
        <v>0</v>
      </c>
      <c r="K644" s="1">
        <f t="shared" si="79"/>
        <v>80</v>
      </c>
      <c r="L644" s="1"/>
      <c r="M644" s="3"/>
      <c r="N644" s="3"/>
      <c r="O644" s="3"/>
      <c r="P644" s="3"/>
      <c r="Q644" s="3"/>
      <c r="R644" s="1"/>
    </row>
    <row r="645" spans="2:18" x14ac:dyDescent="0.2">
      <c r="B645">
        <v>633</v>
      </c>
      <c r="C645" s="1">
        <v>0.30281889312497423</v>
      </c>
      <c r="D645" s="1">
        <f t="shared" si="73"/>
        <v>105.30506533857459</v>
      </c>
      <c r="E645" s="18">
        <f t="shared" si="80"/>
        <v>-25.305065338574593</v>
      </c>
      <c r="F645" s="1">
        <f t="shared" si="78"/>
        <v>80</v>
      </c>
      <c r="G645" s="9">
        <f t="shared" si="74"/>
        <v>0</v>
      </c>
      <c r="H645" s="9">
        <f t="shared" si="75"/>
        <v>80</v>
      </c>
      <c r="I645" s="9">
        <f t="shared" si="76"/>
        <v>0</v>
      </c>
      <c r="J645" s="9">
        <f t="shared" si="77"/>
        <v>0</v>
      </c>
      <c r="K645" s="1">
        <f t="shared" si="79"/>
        <v>80</v>
      </c>
      <c r="L645" s="1"/>
      <c r="M645" s="3"/>
      <c r="N645" s="3"/>
      <c r="O645" s="3"/>
      <c r="P645" s="3"/>
      <c r="Q645" s="3"/>
      <c r="R645" s="1"/>
    </row>
    <row r="646" spans="2:18" x14ac:dyDescent="0.2">
      <c r="B646">
        <v>634</v>
      </c>
      <c r="C646" s="1">
        <v>0.30666473151419982</v>
      </c>
      <c r="D646" s="1">
        <f t="shared" si="73"/>
        <v>105.54833766416125</v>
      </c>
      <c r="E646" s="18">
        <f t="shared" si="80"/>
        <v>-25.548337664161252</v>
      </c>
      <c r="F646" s="1">
        <f t="shared" si="78"/>
        <v>80</v>
      </c>
      <c r="G646" s="9">
        <f t="shared" si="74"/>
        <v>0</v>
      </c>
      <c r="H646" s="9">
        <f t="shared" si="75"/>
        <v>80</v>
      </c>
      <c r="I646" s="9">
        <f t="shared" si="76"/>
        <v>0</v>
      </c>
      <c r="J646" s="9">
        <f t="shared" si="77"/>
        <v>0</v>
      </c>
      <c r="K646" s="1">
        <f t="shared" si="79"/>
        <v>80</v>
      </c>
      <c r="L646" s="1"/>
      <c r="M646" s="3"/>
      <c r="N646" s="3"/>
      <c r="O646" s="3"/>
      <c r="P646" s="3"/>
      <c r="Q646" s="3"/>
      <c r="R646" s="1"/>
    </row>
    <row r="647" spans="2:18" x14ac:dyDescent="0.2">
      <c r="B647">
        <v>635</v>
      </c>
      <c r="C647" s="1">
        <v>0.31185300060244631</v>
      </c>
      <c r="D647" s="1">
        <f t="shared" si="73"/>
        <v>105.8774175114258</v>
      </c>
      <c r="E647" s="18">
        <f t="shared" si="80"/>
        <v>-25.877417511425804</v>
      </c>
      <c r="F647" s="1">
        <f t="shared" si="78"/>
        <v>80</v>
      </c>
      <c r="G647" s="9">
        <f t="shared" si="74"/>
        <v>0</v>
      </c>
      <c r="H647" s="9">
        <f t="shared" si="75"/>
        <v>80</v>
      </c>
      <c r="I647" s="9">
        <f t="shared" si="76"/>
        <v>0</v>
      </c>
      <c r="J647" s="9">
        <f t="shared" si="77"/>
        <v>0</v>
      </c>
      <c r="K647" s="1">
        <f t="shared" si="79"/>
        <v>80</v>
      </c>
      <c r="L647" s="1"/>
      <c r="M647" s="3"/>
      <c r="N647" s="3"/>
      <c r="O647" s="3"/>
      <c r="P647" s="3"/>
      <c r="Q647" s="3"/>
      <c r="R647" s="1"/>
    </row>
    <row r="648" spans="2:18" x14ac:dyDescent="0.2">
      <c r="B648">
        <v>636</v>
      </c>
      <c r="C648" s="1">
        <v>0.31821170097836615</v>
      </c>
      <c r="D648" s="1">
        <f t="shared" si="73"/>
        <v>106.28213472788086</v>
      </c>
      <c r="E648" s="18">
        <f t="shared" si="80"/>
        <v>-26.282134727880859</v>
      </c>
      <c r="F648" s="1">
        <f t="shared" si="78"/>
        <v>80</v>
      </c>
      <c r="G648" s="9">
        <f t="shared" si="74"/>
        <v>0</v>
      </c>
      <c r="H648" s="9">
        <f t="shared" si="75"/>
        <v>80</v>
      </c>
      <c r="I648" s="9">
        <f t="shared" si="76"/>
        <v>0</v>
      </c>
      <c r="J648" s="9">
        <f t="shared" si="77"/>
        <v>0</v>
      </c>
      <c r="K648" s="1">
        <f t="shared" si="79"/>
        <v>80</v>
      </c>
      <c r="L648" s="1"/>
      <c r="M648" s="3"/>
      <c r="N648" s="3"/>
      <c r="O648" s="3"/>
      <c r="P648" s="3"/>
      <c r="Q648" s="3"/>
      <c r="R648" s="1"/>
    </row>
    <row r="649" spans="2:18" x14ac:dyDescent="0.2">
      <c r="B649">
        <v>637</v>
      </c>
      <c r="C649" s="1">
        <v>0.31840947518463486</v>
      </c>
      <c r="D649" s="1">
        <f t="shared" si="73"/>
        <v>106.29474739510594</v>
      </c>
      <c r="E649" s="18">
        <f t="shared" si="80"/>
        <v>-26.294747395105944</v>
      </c>
      <c r="F649" s="1">
        <f t="shared" si="78"/>
        <v>80</v>
      </c>
      <c r="G649" s="9">
        <f t="shared" si="74"/>
        <v>0</v>
      </c>
      <c r="H649" s="9">
        <f t="shared" si="75"/>
        <v>80</v>
      </c>
      <c r="I649" s="9">
        <f t="shared" si="76"/>
        <v>0</v>
      </c>
      <c r="J649" s="9">
        <f t="shared" si="77"/>
        <v>0</v>
      </c>
      <c r="K649" s="1">
        <f t="shared" si="79"/>
        <v>80</v>
      </c>
      <c r="L649" s="1"/>
      <c r="M649" s="3"/>
      <c r="N649" s="3"/>
      <c r="O649" s="3"/>
      <c r="P649" s="3"/>
      <c r="Q649" s="3"/>
      <c r="R649" s="1"/>
    </row>
    <row r="650" spans="2:18" x14ac:dyDescent="0.2">
      <c r="B650">
        <v>638</v>
      </c>
      <c r="C650" s="1">
        <v>0.31903811755409445</v>
      </c>
      <c r="D650" s="1">
        <f t="shared" si="73"/>
        <v>106.33484778639017</v>
      </c>
      <c r="E650" s="18">
        <f t="shared" si="80"/>
        <v>-26.334847786390171</v>
      </c>
      <c r="F650" s="1">
        <f t="shared" si="78"/>
        <v>80</v>
      </c>
      <c r="G650" s="9">
        <f t="shared" si="74"/>
        <v>0</v>
      </c>
      <c r="H650" s="9">
        <f t="shared" si="75"/>
        <v>80</v>
      </c>
      <c r="I650" s="9">
        <f t="shared" si="76"/>
        <v>0</v>
      </c>
      <c r="J650" s="9">
        <f t="shared" si="77"/>
        <v>0</v>
      </c>
      <c r="K650" s="1">
        <f t="shared" si="79"/>
        <v>80</v>
      </c>
      <c r="L650" s="1"/>
      <c r="M650" s="3"/>
      <c r="N650" s="3"/>
      <c r="O650" s="3"/>
      <c r="P650" s="3"/>
      <c r="Q650" s="3"/>
      <c r="R650" s="1"/>
    </row>
    <row r="651" spans="2:18" x14ac:dyDescent="0.2">
      <c r="B651">
        <v>639</v>
      </c>
      <c r="C651" s="1">
        <v>0.32597243311200486</v>
      </c>
      <c r="D651" s="1">
        <f t="shared" si="73"/>
        <v>106.77818505262044</v>
      </c>
      <c r="E651" s="18">
        <f t="shared" si="80"/>
        <v>-26.778185052620444</v>
      </c>
      <c r="F651" s="1">
        <f t="shared" si="78"/>
        <v>80</v>
      </c>
      <c r="G651" s="9">
        <f t="shared" si="74"/>
        <v>0</v>
      </c>
      <c r="H651" s="9">
        <f t="shared" si="75"/>
        <v>80</v>
      </c>
      <c r="I651" s="9">
        <f t="shared" si="76"/>
        <v>0</v>
      </c>
      <c r="J651" s="9">
        <f t="shared" si="77"/>
        <v>0</v>
      </c>
      <c r="K651" s="1">
        <f t="shared" si="79"/>
        <v>80</v>
      </c>
      <c r="L651" s="1"/>
      <c r="M651" s="3"/>
      <c r="N651" s="3"/>
      <c r="O651" s="3"/>
      <c r="P651" s="3"/>
      <c r="Q651" s="3"/>
      <c r="R651" s="1"/>
    </row>
    <row r="652" spans="2:18" x14ac:dyDescent="0.2">
      <c r="B652">
        <v>640</v>
      </c>
      <c r="C652" s="1">
        <v>0.32867491620208134</v>
      </c>
      <c r="D652" s="1">
        <f t="shared" si="73"/>
        <v>106.95146524438701</v>
      </c>
      <c r="E652" s="18">
        <f t="shared" si="80"/>
        <v>-26.951465244387009</v>
      </c>
      <c r="F652" s="1">
        <f t="shared" si="78"/>
        <v>80</v>
      </c>
      <c r="G652" s="9">
        <f t="shared" si="74"/>
        <v>0</v>
      </c>
      <c r="H652" s="9">
        <f t="shared" si="75"/>
        <v>80</v>
      </c>
      <c r="I652" s="9">
        <f t="shared" si="76"/>
        <v>0</v>
      </c>
      <c r="J652" s="9">
        <f t="shared" si="77"/>
        <v>0</v>
      </c>
      <c r="K652" s="1">
        <f t="shared" si="79"/>
        <v>80</v>
      </c>
      <c r="L652" s="1"/>
      <c r="M652" s="3"/>
      <c r="N652" s="3"/>
      <c r="O652" s="3"/>
      <c r="P652" s="3"/>
      <c r="Q652" s="3"/>
      <c r="R652" s="1"/>
    </row>
    <row r="653" spans="2:18" x14ac:dyDescent="0.2">
      <c r="B653">
        <v>641</v>
      </c>
      <c r="C653" s="1">
        <v>0.32876656892745332</v>
      </c>
      <c r="D653" s="1">
        <f t="shared" ref="D653:D716" si="81">a0*EXP((RR-0.5*sigma^2)*T+sigma*SQRT(T)*C653)</f>
        <v>106.95734684206816</v>
      </c>
      <c r="E653" s="18">
        <f t="shared" si="80"/>
        <v>-26.957346842068162</v>
      </c>
      <c r="F653" s="1">
        <f t="shared" si="78"/>
        <v>80</v>
      </c>
      <c r="G653" s="9">
        <f t="shared" ref="G653:G716" si="82">IF(F653&lt;F,MIN(disc,F653),0)</f>
        <v>0</v>
      </c>
      <c r="H653" s="9">
        <f t="shared" ref="H653:H716" si="83">IF(F653&gt;=F,F,F653-G653)</f>
        <v>80</v>
      </c>
      <c r="I653" s="9">
        <f t="shared" ref="I653:I716" si="84">(1-tax)*(F653-G653-H653)</f>
        <v>0</v>
      </c>
      <c r="J653" s="9">
        <f t="shared" ref="J653:J716" si="85">tax*(F653-G653-H653)</f>
        <v>0</v>
      </c>
      <c r="K653" s="1">
        <f t="shared" si="79"/>
        <v>80</v>
      </c>
      <c r="L653" s="1"/>
      <c r="M653" s="3"/>
      <c r="N653" s="3"/>
      <c r="O653" s="3"/>
      <c r="P653" s="3"/>
      <c r="Q653" s="3"/>
      <c r="R653" s="1"/>
    </row>
    <row r="654" spans="2:18" x14ac:dyDescent="0.2">
      <c r="B654">
        <v>642</v>
      </c>
      <c r="C654" s="1">
        <v>0.32906683918397467</v>
      </c>
      <c r="D654" s="1">
        <f t="shared" si="81"/>
        <v>106.97661824398857</v>
      </c>
      <c r="E654" s="18">
        <f t="shared" si="80"/>
        <v>-26.976618243988568</v>
      </c>
      <c r="F654" s="1">
        <f t="shared" ref="F654:F717" si="86">D654+E654</f>
        <v>80</v>
      </c>
      <c r="G654" s="9">
        <f t="shared" si="82"/>
        <v>0</v>
      </c>
      <c r="H654" s="9">
        <f t="shared" si="83"/>
        <v>80</v>
      </c>
      <c r="I654" s="9">
        <f t="shared" si="84"/>
        <v>0</v>
      </c>
      <c r="J654" s="9">
        <f t="shared" si="85"/>
        <v>0</v>
      </c>
      <c r="K654" s="1">
        <f t="shared" ref="K654:K717" si="87">SUM(G654:J654)</f>
        <v>80</v>
      </c>
      <c r="L654" s="1"/>
      <c r="M654" s="3"/>
      <c r="N654" s="3"/>
      <c r="O654" s="3"/>
      <c r="P654" s="3"/>
      <c r="Q654" s="3"/>
      <c r="R654" s="1"/>
    </row>
    <row r="655" spans="2:18" x14ac:dyDescent="0.2">
      <c r="B655">
        <v>643</v>
      </c>
      <c r="C655" s="1">
        <v>0.3305116707444502</v>
      </c>
      <c r="D655" s="1">
        <f t="shared" si="81"/>
        <v>107.06939636937042</v>
      </c>
      <c r="E655" s="18">
        <f t="shared" si="80"/>
        <v>-27.069396369370423</v>
      </c>
      <c r="F655" s="1">
        <f t="shared" si="86"/>
        <v>80</v>
      </c>
      <c r="G655" s="9">
        <f t="shared" si="82"/>
        <v>0</v>
      </c>
      <c r="H655" s="9">
        <f t="shared" si="83"/>
        <v>80</v>
      </c>
      <c r="I655" s="9">
        <f t="shared" si="84"/>
        <v>0</v>
      </c>
      <c r="J655" s="9">
        <f t="shared" si="85"/>
        <v>0</v>
      </c>
      <c r="K655" s="1">
        <f t="shared" si="87"/>
        <v>80</v>
      </c>
      <c r="L655" s="1"/>
      <c r="M655" s="3"/>
      <c r="N655" s="3"/>
      <c r="O655" s="3"/>
      <c r="P655" s="3"/>
      <c r="Q655" s="3"/>
      <c r="R655" s="1"/>
    </row>
    <row r="656" spans="2:18" x14ac:dyDescent="0.2">
      <c r="B656">
        <v>644</v>
      </c>
      <c r="C656" s="1">
        <v>0.33462070690285045</v>
      </c>
      <c r="D656" s="1">
        <f t="shared" si="81"/>
        <v>107.33369324981277</v>
      </c>
      <c r="E656" s="18">
        <f t="shared" si="80"/>
        <v>-27.333693249812768</v>
      </c>
      <c r="F656" s="1">
        <f t="shared" si="86"/>
        <v>80</v>
      </c>
      <c r="G656" s="9">
        <f t="shared" si="82"/>
        <v>0</v>
      </c>
      <c r="H656" s="9">
        <f t="shared" si="83"/>
        <v>80</v>
      </c>
      <c r="I656" s="9">
        <f t="shared" si="84"/>
        <v>0</v>
      </c>
      <c r="J656" s="9">
        <f t="shared" si="85"/>
        <v>0</v>
      </c>
      <c r="K656" s="1">
        <f t="shared" si="87"/>
        <v>80</v>
      </c>
      <c r="L656" s="1"/>
      <c r="M656" s="3"/>
      <c r="N656" s="3"/>
      <c r="O656" s="3"/>
      <c r="P656" s="3"/>
      <c r="Q656" s="3"/>
      <c r="R656" s="1"/>
    </row>
    <row r="657" spans="2:18" x14ac:dyDescent="0.2">
      <c r="B657">
        <v>645</v>
      </c>
      <c r="C657" s="1">
        <v>0.34199103880707327</v>
      </c>
      <c r="D657" s="1">
        <f t="shared" si="81"/>
        <v>107.80939526536035</v>
      </c>
      <c r="E657" s="18">
        <f t="shared" si="80"/>
        <v>-27.809395265360351</v>
      </c>
      <c r="F657" s="1">
        <f t="shared" si="86"/>
        <v>80</v>
      </c>
      <c r="G657" s="9">
        <f t="shared" si="82"/>
        <v>0</v>
      </c>
      <c r="H657" s="9">
        <f t="shared" si="83"/>
        <v>80</v>
      </c>
      <c r="I657" s="9">
        <f t="shared" si="84"/>
        <v>0</v>
      </c>
      <c r="J657" s="9">
        <f t="shared" si="85"/>
        <v>0</v>
      </c>
      <c r="K657" s="1">
        <f t="shared" si="87"/>
        <v>80</v>
      </c>
      <c r="L657" s="1"/>
      <c r="M657" s="3"/>
      <c r="N657" s="3"/>
      <c r="O657" s="3"/>
      <c r="P657" s="3"/>
      <c r="Q657" s="3"/>
      <c r="R657" s="1"/>
    </row>
    <row r="658" spans="2:18" x14ac:dyDescent="0.2">
      <c r="B658">
        <v>646</v>
      </c>
      <c r="C658" s="1">
        <v>0.34257633707386836</v>
      </c>
      <c r="D658" s="1">
        <f t="shared" si="81"/>
        <v>107.84726230534088</v>
      </c>
      <c r="E658" s="18">
        <f t="shared" si="80"/>
        <v>-27.847262305340877</v>
      </c>
      <c r="F658" s="1">
        <f t="shared" si="86"/>
        <v>80</v>
      </c>
      <c r="G658" s="9">
        <f t="shared" si="82"/>
        <v>0</v>
      </c>
      <c r="H658" s="9">
        <f t="shared" si="83"/>
        <v>80</v>
      </c>
      <c r="I658" s="9">
        <f t="shared" si="84"/>
        <v>0</v>
      </c>
      <c r="J658" s="9">
        <f t="shared" si="85"/>
        <v>0</v>
      </c>
      <c r="K658" s="1">
        <f t="shared" si="87"/>
        <v>80</v>
      </c>
      <c r="L658" s="1"/>
      <c r="M658" s="3"/>
      <c r="N658" s="3"/>
      <c r="O658" s="3"/>
      <c r="P658" s="3"/>
      <c r="Q658" s="3"/>
      <c r="R658" s="1"/>
    </row>
    <row r="659" spans="2:18" x14ac:dyDescent="0.2">
      <c r="B659">
        <v>647</v>
      </c>
      <c r="C659" s="1">
        <v>0.34507576243722593</v>
      </c>
      <c r="D659" s="1">
        <f t="shared" si="81"/>
        <v>108.00911734805148</v>
      </c>
      <c r="E659" s="18">
        <f t="shared" si="80"/>
        <v>-28.009117348051475</v>
      </c>
      <c r="F659" s="1">
        <f t="shared" si="86"/>
        <v>80</v>
      </c>
      <c r="G659" s="9">
        <f t="shared" si="82"/>
        <v>0</v>
      </c>
      <c r="H659" s="9">
        <f t="shared" si="83"/>
        <v>80</v>
      </c>
      <c r="I659" s="9">
        <f t="shared" si="84"/>
        <v>0</v>
      </c>
      <c r="J659" s="9">
        <f t="shared" si="85"/>
        <v>0</v>
      </c>
      <c r="K659" s="1">
        <f t="shared" si="87"/>
        <v>80</v>
      </c>
      <c r="L659" s="1"/>
      <c r="M659" s="3"/>
      <c r="N659" s="3"/>
      <c r="O659" s="3"/>
      <c r="P659" s="3"/>
      <c r="Q659" s="3"/>
      <c r="R659" s="1"/>
    </row>
    <row r="660" spans="2:18" x14ac:dyDescent="0.2">
      <c r="B660">
        <v>648</v>
      </c>
      <c r="C660" s="1">
        <v>0.34705881567861357</v>
      </c>
      <c r="D660" s="1">
        <f t="shared" si="81"/>
        <v>108.13770653079375</v>
      </c>
      <c r="E660" s="18">
        <f t="shared" si="80"/>
        <v>-28.13770653079375</v>
      </c>
      <c r="F660" s="1">
        <f t="shared" si="86"/>
        <v>80</v>
      </c>
      <c r="G660" s="9">
        <f t="shared" si="82"/>
        <v>0</v>
      </c>
      <c r="H660" s="9">
        <f t="shared" si="83"/>
        <v>80</v>
      </c>
      <c r="I660" s="9">
        <f t="shared" si="84"/>
        <v>0</v>
      </c>
      <c r="J660" s="9">
        <f t="shared" si="85"/>
        <v>0</v>
      </c>
      <c r="K660" s="1">
        <f t="shared" si="87"/>
        <v>80</v>
      </c>
      <c r="L660" s="1"/>
      <c r="M660" s="3"/>
      <c r="N660" s="3"/>
      <c r="O660" s="3"/>
      <c r="P660" s="3"/>
      <c r="Q660" s="3"/>
      <c r="R660" s="1"/>
    </row>
    <row r="661" spans="2:18" x14ac:dyDescent="0.2">
      <c r="B661">
        <v>649</v>
      </c>
      <c r="C661" s="1">
        <v>0.35057551581838614</v>
      </c>
      <c r="D661" s="1">
        <f t="shared" si="81"/>
        <v>108.36612015732139</v>
      </c>
      <c r="E661" s="18">
        <f t="shared" si="80"/>
        <v>-28.36612015732139</v>
      </c>
      <c r="F661" s="1">
        <f t="shared" si="86"/>
        <v>80</v>
      </c>
      <c r="G661" s="9">
        <f t="shared" si="82"/>
        <v>0</v>
      </c>
      <c r="H661" s="9">
        <f t="shared" si="83"/>
        <v>80</v>
      </c>
      <c r="I661" s="9">
        <f t="shared" si="84"/>
        <v>0</v>
      </c>
      <c r="J661" s="9">
        <f t="shared" si="85"/>
        <v>0</v>
      </c>
      <c r="K661" s="1">
        <f t="shared" si="87"/>
        <v>80</v>
      </c>
      <c r="L661" s="1"/>
      <c r="M661" s="3"/>
      <c r="N661" s="3"/>
      <c r="O661" s="3"/>
      <c r="P661" s="3"/>
      <c r="Q661" s="3"/>
      <c r="R661" s="1"/>
    </row>
    <row r="662" spans="2:18" x14ac:dyDescent="0.2">
      <c r="B662">
        <v>650</v>
      </c>
      <c r="C662" s="1">
        <v>0.35187533129380755</v>
      </c>
      <c r="D662" s="1">
        <f t="shared" si="81"/>
        <v>108.4506666975016</v>
      </c>
      <c r="E662" s="18">
        <f t="shared" si="80"/>
        <v>-28.450666697501603</v>
      </c>
      <c r="F662" s="1">
        <f t="shared" si="86"/>
        <v>80</v>
      </c>
      <c r="G662" s="9">
        <f t="shared" si="82"/>
        <v>0</v>
      </c>
      <c r="H662" s="9">
        <f t="shared" si="83"/>
        <v>80</v>
      </c>
      <c r="I662" s="9">
        <f t="shared" si="84"/>
        <v>0</v>
      </c>
      <c r="J662" s="9">
        <f t="shared" si="85"/>
        <v>0</v>
      </c>
      <c r="K662" s="1">
        <f t="shared" si="87"/>
        <v>80</v>
      </c>
      <c r="L662" s="1"/>
      <c r="M662" s="3"/>
      <c r="N662" s="3"/>
      <c r="O662" s="3"/>
      <c r="P662" s="3"/>
      <c r="Q662" s="3"/>
      <c r="R662" s="1"/>
    </row>
    <row r="663" spans="2:18" x14ac:dyDescent="0.2">
      <c r="B663">
        <v>651</v>
      </c>
      <c r="C663" s="1">
        <v>0.35565671737675336</v>
      </c>
      <c r="D663" s="1">
        <f t="shared" si="81"/>
        <v>108.69700234392911</v>
      </c>
      <c r="E663" s="18">
        <f t="shared" si="80"/>
        <v>-28.697002343929114</v>
      </c>
      <c r="F663" s="1">
        <f t="shared" si="86"/>
        <v>80</v>
      </c>
      <c r="G663" s="9">
        <f t="shared" si="82"/>
        <v>0</v>
      </c>
      <c r="H663" s="9">
        <f t="shared" si="83"/>
        <v>80</v>
      </c>
      <c r="I663" s="9">
        <f t="shared" si="84"/>
        <v>0</v>
      </c>
      <c r="J663" s="9">
        <f t="shared" si="85"/>
        <v>0</v>
      </c>
      <c r="K663" s="1">
        <f t="shared" si="87"/>
        <v>80</v>
      </c>
      <c r="L663" s="1"/>
      <c r="M663" s="3"/>
      <c r="N663" s="3"/>
      <c r="O663" s="3"/>
      <c r="P663" s="3"/>
      <c r="Q663" s="3"/>
      <c r="R663" s="1"/>
    </row>
    <row r="664" spans="2:18" x14ac:dyDescent="0.2">
      <c r="B664">
        <v>652</v>
      </c>
      <c r="C664" s="1">
        <v>0.36054115534487868</v>
      </c>
      <c r="D664" s="1">
        <f t="shared" si="81"/>
        <v>109.01602384697995</v>
      </c>
      <c r="E664" s="18">
        <f t="shared" si="80"/>
        <v>-29.016023846979948</v>
      </c>
      <c r="F664" s="1">
        <f t="shared" si="86"/>
        <v>80</v>
      </c>
      <c r="G664" s="9">
        <f t="shared" si="82"/>
        <v>0</v>
      </c>
      <c r="H664" s="9">
        <f t="shared" si="83"/>
        <v>80</v>
      </c>
      <c r="I664" s="9">
        <f t="shared" si="84"/>
        <v>0</v>
      </c>
      <c r="J664" s="9">
        <f t="shared" si="85"/>
        <v>0</v>
      </c>
      <c r="K664" s="1">
        <f t="shared" si="87"/>
        <v>80</v>
      </c>
      <c r="L664" s="1"/>
      <c r="M664" s="3"/>
      <c r="N664" s="3"/>
      <c r="O664" s="3"/>
      <c r="P664" s="3"/>
      <c r="Q664" s="3"/>
      <c r="R664" s="1"/>
    </row>
    <row r="665" spans="2:18" x14ac:dyDescent="0.2">
      <c r="B665">
        <v>653</v>
      </c>
      <c r="C665" s="1">
        <v>0.36113967437621486</v>
      </c>
      <c r="D665" s="1">
        <f t="shared" si="81"/>
        <v>109.05517977622561</v>
      </c>
      <c r="E665" s="18">
        <f t="shared" si="80"/>
        <v>-29.055179776225614</v>
      </c>
      <c r="F665" s="1">
        <f t="shared" si="86"/>
        <v>80</v>
      </c>
      <c r="G665" s="9">
        <f t="shared" si="82"/>
        <v>0</v>
      </c>
      <c r="H665" s="9">
        <f t="shared" si="83"/>
        <v>80</v>
      </c>
      <c r="I665" s="9">
        <f t="shared" si="84"/>
        <v>0</v>
      </c>
      <c r="J665" s="9">
        <f t="shared" si="85"/>
        <v>0</v>
      </c>
      <c r="K665" s="1">
        <f t="shared" si="87"/>
        <v>80</v>
      </c>
      <c r="L665" s="1"/>
      <c r="M665" s="3"/>
      <c r="N665" s="3"/>
      <c r="O665" s="3"/>
      <c r="P665" s="3"/>
      <c r="Q665" s="3"/>
      <c r="R665" s="1"/>
    </row>
    <row r="666" spans="2:18" x14ac:dyDescent="0.2">
      <c r="B666">
        <v>654</v>
      </c>
      <c r="C666" s="1">
        <v>0.36154247953549529</v>
      </c>
      <c r="D666" s="1">
        <f t="shared" si="81"/>
        <v>109.08153975491399</v>
      </c>
      <c r="E666" s="18">
        <f t="shared" si="80"/>
        <v>-29.08153975491399</v>
      </c>
      <c r="F666" s="1">
        <f t="shared" si="86"/>
        <v>80</v>
      </c>
      <c r="G666" s="9">
        <f t="shared" si="82"/>
        <v>0</v>
      </c>
      <c r="H666" s="9">
        <f t="shared" si="83"/>
        <v>80</v>
      </c>
      <c r="I666" s="9">
        <f t="shared" si="84"/>
        <v>0</v>
      </c>
      <c r="J666" s="9">
        <f t="shared" si="85"/>
        <v>0</v>
      </c>
      <c r="K666" s="1">
        <f t="shared" si="87"/>
        <v>80</v>
      </c>
      <c r="L666" s="1"/>
      <c r="M666" s="3"/>
      <c r="N666" s="3"/>
      <c r="O666" s="3"/>
      <c r="P666" s="3"/>
      <c r="Q666" s="3"/>
      <c r="R666" s="1"/>
    </row>
    <row r="667" spans="2:18" x14ac:dyDescent="0.2">
      <c r="B667">
        <v>655</v>
      </c>
      <c r="C667" s="1">
        <v>0.36304045983037164</v>
      </c>
      <c r="D667" s="1">
        <f t="shared" si="81"/>
        <v>109.17962502550441</v>
      </c>
      <c r="E667" s="18">
        <f t="shared" si="80"/>
        <v>-29.179625025504407</v>
      </c>
      <c r="F667" s="1">
        <f t="shared" si="86"/>
        <v>80</v>
      </c>
      <c r="G667" s="9">
        <f t="shared" si="82"/>
        <v>0</v>
      </c>
      <c r="H667" s="9">
        <f t="shared" si="83"/>
        <v>80</v>
      </c>
      <c r="I667" s="9">
        <f t="shared" si="84"/>
        <v>0</v>
      </c>
      <c r="J667" s="9">
        <f t="shared" si="85"/>
        <v>0</v>
      </c>
      <c r="K667" s="1">
        <f t="shared" si="87"/>
        <v>80</v>
      </c>
      <c r="L667" s="1"/>
      <c r="M667" s="3"/>
      <c r="N667" s="3"/>
      <c r="O667" s="3"/>
      <c r="P667" s="3"/>
      <c r="Q667" s="3"/>
      <c r="R667" s="1"/>
    </row>
    <row r="668" spans="2:18" x14ac:dyDescent="0.2">
      <c r="B668">
        <v>656</v>
      </c>
      <c r="C668" s="1">
        <v>0.36533305370105096</v>
      </c>
      <c r="D668" s="1">
        <f t="shared" si="81"/>
        <v>109.32991108876153</v>
      </c>
      <c r="E668" s="18">
        <f t="shared" si="80"/>
        <v>-29.329911088761534</v>
      </c>
      <c r="F668" s="1">
        <f t="shared" si="86"/>
        <v>80</v>
      </c>
      <c r="G668" s="9">
        <f t="shared" si="82"/>
        <v>0</v>
      </c>
      <c r="H668" s="9">
        <f t="shared" si="83"/>
        <v>80</v>
      </c>
      <c r="I668" s="9">
        <f t="shared" si="84"/>
        <v>0</v>
      </c>
      <c r="J668" s="9">
        <f t="shared" si="85"/>
        <v>0</v>
      </c>
      <c r="K668" s="1">
        <f t="shared" si="87"/>
        <v>80</v>
      </c>
      <c r="L668" s="1"/>
      <c r="M668" s="3"/>
      <c r="N668" s="3"/>
      <c r="O668" s="3"/>
      <c r="P668" s="3"/>
      <c r="Q668" s="3"/>
      <c r="R668" s="1"/>
    </row>
    <row r="669" spans="2:18" x14ac:dyDescent="0.2">
      <c r="B669">
        <v>657</v>
      </c>
      <c r="C669" s="1">
        <v>0.3660609887461167</v>
      </c>
      <c r="D669" s="1">
        <f t="shared" si="81"/>
        <v>109.37767256243069</v>
      </c>
      <c r="E669" s="18">
        <f t="shared" si="80"/>
        <v>-29.377672562430689</v>
      </c>
      <c r="F669" s="1">
        <f t="shared" si="86"/>
        <v>80</v>
      </c>
      <c r="G669" s="9">
        <f t="shared" si="82"/>
        <v>0</v>
      </c>
      <c r="H669" s="9">
        <f t="shared" si="83"/>
        <v>80</v>
      </c>
      <c r="I669" s="9">
        <f t="shared" si="84"/>
        <v>0</v>
      </c>
      <c r="J669" s="9">
        <f t="shared" si="85"/>
        <v>0</v>
      </c>
      <c r="K669" s="1">
        <f t="shared" si="87"/>
        <v>80</v>
      </c>
      <c r="L669" s="1"/>
      <c r="M669" s="3"/>
      <c r="N669" s="3"/>
      <c r="O669" s="3"/>
      <c r="P669" s="3"/>
      <c r="Q669" s="3"/>
      <c r="R669" s="1"/>
    </row>
    <row r="670" spans="2:18" x14ac:dyDescent="0.2">
      <c r="B670">
        <v>658</v>
      </c>
      <c r="C670" s="1">
        <v>0.36835041699062315</v>
      </c>
      <c r="D670" s="1">
        <f t="shared" si="81"/>
        <v>109.52802320361992</v>
      </c>
      <c r="E670" s="18">
        <f t="shared" si="80"/>
        <v>-29.528023203619924</v>
      </c>
      <c r="F670" s="1">
        <f t="shared" si="86"/>
        <v>80</v>
      </c>
      <c r="G670" s="9">
        <f t="shared" si="82"/>
        <v>0</v>
      </c>
      <c r="H670" s="9">
        <f t="shared" si="83"/>
        <v>80</v>
      </c>
      <c r="I670" s="9">
        <f t="shared" si="84"/>
        <v>0</v>
      </c>
      <c r="J670" s="9">
        <f t="shared" si="85"/>
        <v>0</v>
      </c>
      <c r="K670" s="1">
        <f t="shared" si="87"/>
        <v>80</v>
      </c>
      <c r="L670" s="1"/>
      <c r="M670" s="3"/>
      <c r="N670" s="3"/>
      <c r="O670" s="3"/>
      <c r="P670" s="3"/>
      <c r="Q670" s="3"/>
      <c r="R670" s="1"/>
    </row>
    <row r="671" spans="2:18" x14ac:dyDescent="0.2">
      <c r="B671">
        <v>659</v>
      </c>
      <c r="C671" s="1">
        <v>0.37167937105424254</v>
      </c>
      <c r="D671" s="1">
        <f t="shared" si="81"/>
        <v>109.74701008475066</v>
      </c>
      <c r="E671" s="18">
        <f t="shared" si="80"/>
        <v>-29.747010084750656</v>
      </c>
      <c r="F671" s="1">
        <f t="shared" si="86"/>
        <v>80</v>
      </c>
      <c r="G671" s="9">
        <f t="shared" si="82"/>
        <v>0</v>
      </c>
      <c r="H671" s="9">
        <f t="shared" si="83"/>
        <v>80</v>
      </c>
      <c r="I671" s="9">
        <f t="shared" si="84"/>
        <v>0</v>
      </c>
      <c r="J671" s="9">
        <f t="shared" si="85"/>
        <v>0</v>
      </c>
      <c r="K671" s="1">
        <f t="shared" si="87"/>
        <v>80</v>
      </c>
      <c r="L671" s="1"/>
      <c r="M671" s="3"/>
      <c r="N671" s="3"/>
      <c r="O671" s="3"/>
      <c r="P671" s="3"/>
      <c r="Q671" s="3"/>
      <c r="R671" s="1"/>
    </row>
    <row r="672" spans="2:18" x14ac:dyDescent="0.2">
      <c r="B672">
        <v>660</v>
      </c>
      <c r="C672" s="1">
        <v>0.3722137211227966</v>
      </c>
      <c r="D672" s="1">
        <f t="shared" si="81"/>
        <v>109.78220171926235</v>
      </c>
      <c r="E672" s="18">
        <f t="shared" si="80"/>
        <v>-29.782201719262346</v>
      </c>
      <c r="F672" s="1">
        <f t="shared" si="86"/>
        <v>80</v>
      </c>
      <c r="G672" s="9">
        <f t="shared" si="82"/>
        <v>0</v>
      </c>
      <c r="H672" s="9">
        <f t="shared" si="83"/>
        <v>80</v>
      </c>
      <c r="I672" s="9">
        <f t="shared" si="84"/>
        <v>0</v>
      </c>
      <c r="J672" s="9">
        <f t="shared" si="85"/>
        <v>0</v>
      </c>
      <c r="K672" s="1">
        <f t="shared" si="87"/>
        <v>80</v>
      </c>
      <c r="L672" s="1"/>
      <c r="M672" s="3"/>
      <c r="N672" s="3"/>
      <c r="O672" s="3"/>
      <c r="P672" s="3"/>
      <c r="Q672" s="3"/>
      <c r="R672" s="1"/>
    </row>
    <row r="673" spans="2:18" x14ac:dyDescent="0.2">
      <c r="B673">
        <v>661</v>
      </c>
      <c r="C673" s="1">
        <v>0.37678835356405788</v>
      </c>
      <c r="D673" s="1">
        <f t="shared" si="81"/>
        <v>110.08394357011619</v>
      </c>
      <c r="E673" s="18">
        <f t="shared" si="80"/>
        <v>-30.08394357011619</v>
      </c>
      <c r="F673" s="1">
        <f t="shared" si="86"/>
        <v>80</v>
      </c>
      <c r="G673" s="9">
        <f t="shared" si="82"/>
        <v>0</v>
      </c>
      <c r="H673" s="9">
        <f t="shared" si="83"/>
        <v>80</v>
      </c>
      <c r="I673" s="9">
        <f t="shared" si="84"/>
        <v>0</v>
      </c>
      <c r="J673" s="9">
        <f t="shared" si="85"/>
        <v>0</v>
      </c>
      <c r="K673" s="1">
        <f t="shared" si="87"/>
        <v>80</v>
      </c>
      <c r="L673" s="1"/>
      <c r="M673" s="3"/>
      <c r="N673" s="3"/>
      <c r="O673" s="3"/>
      <c r="P673" s="3"/>
      <c r="Q673" s="3"/>
      <c r="R673" s="1"/>
    </row>
    <row r="674" spans="2:18" x14ac:dyDescent="0.2">
      <c r="B674">
        <v>662</v>
      </c>
      <c r="C674" s="1">
        <v>0.3843104027484015</v>
      </c>
      <c r="D674" s="1">
        <f t="shared" si="81"/>
        <v>110.5819005246417</v>
      </c>
      <c r="E674" s="18">
        <f t="shared" si="80"/>
        <v>-30.581900524641696</v>
      </c>
      <c r="F674" s="1">
        <f t="shared" si="86"/>
        <v>80</v>
      </c>
      <c r="G674" s="9">
        <f t="shared" si="82"/>
        <v>0</v>
      </c>
      <c r="H674" s="9">
        <f t="shared" si="83"/>
        <v>80</v>
      </c>
      <c r="I674" s="9">
        <f t="shared" si="84"/>
        <v>0</v>
      </c>
      <c r="J674" s="9">
        <f t="shared" si="85"/>
        <v>0</v>
      </c>
      <c r="K674" s="1">
        <f t="shared" si="87"/>
        <v>80</v>
      </c>
      <c r="L674" s="1"/>
      <c r="M674" s="3"/>
      <c r="N674" s="3"/>
      <c r="O674" s="3"/>
      <c r="P674" s="3"/>
      <c r="Q674" s="3"/>
      <c r="R674" s="1"/>
    </row>
    <row r="675" spans="2:18" x14ac:dyDescent="0.2">
      <c r="B675">
        <v>663</v>
      </c>
      <c r="C675" s="1">
        <v>0.39108538638356372</v>
      </c>
      <c r="D675" s="1">
        <f t="shared" si="81"/>
        <v>111.03232973940278</v>
      </c>
      <c r="E675" s="18">
        <f t="shared" si="80"/>
        <v>-31.032329739402783</v>
      </c>
      <c r="F675" s="1">
        <f t="shared" si="86"/>
        <v>80</v>
      </c>
      <c r="G675" s="9">
        <f t="shared" si="82"/>
        <v>0</v>
      </c>
      <c r="H675" s="9">
        <f t="shared" si="83"/>
        <v>80</v>
      </c>
      <c r="I675" s="9">
        <f t="shared" si="84"/>
        <v>0</v>
      </c>
      <c r="J675" s="9">
        <f t="shared" si="85"/>
        <v>0</v>
      </c>
      <c r="K675" s="1">
        <f t="shared" si="87"/>
        <v>80</v>
      </c>
      <c r="L675" s="1"/>
      <c r="M675" s="3"/>
      <c r="N675" s="3"/>
      <c r="O675" s="3"/>
      <c r="P675" s="3"/>
      <c r="Q675" s="3"/>
      <c r="R675" s="1"/>
    </row>
    <row r="676" spans="2:18" x14ac:dyDescent="0.2">
      <c r="B676">
        <v>664</v>
      </c>
      <c r="C676" s="1">
        <v>0.39142832546016693</v>
      </c>
      <c r="D676" s="1">
        <f t="shared" si="81"/>
        <v>111.05517848482083</v>
      </c>
      <c r="E676" s="18">
        <f t="shared" si="80"/>
        <v>-31.055178484820829</v>
      </c>
      <c r="F676" s="1">
        <f t="shared" si="86"/>
        <v>80</v>
      </c>
      <c r="G676" s="9">
        <f t="shared" si="82"/>
        <v>0</v>
      </c>
      <c r="H676" s="9">
        <f t="shared" si="83"/>
        <v>80</v>
      </c>
      <c r="I676" s="9">
        <f t="shared" si="84"/>
        <v>0</v>
      </c>
      <c r="J676" s="9">
        <f t="shared" si="85"/>
        <v>0</v>
      </c>
      <c r="K676" s="1">
        <f t="shared" si="87"/>
        <v>80</v>
      </c>
      <c r="L676" s="1"/>
      <c r="M676" s="3"/>
      <c r="N676" s="3"/>
      <c r="O676" s="3"/>
      <c r="P676" s="3"/>
      <c r="Q676" s="3"/>
      <c r="R676" s="1"/>
    </row>
    <row r="677" spans="2:18" x14ac:dyDescent="0.2">
      <c r="B677">
        <v>665</v>
      </c>
      <c r="C677" s="1">
        <v>0.39326945620420101</v>
      </c>
      <c r="D677" s="1">
        <f t="shared" si="81"/>
        <v>111.17792653293532</v>
      </c>
      <c r="E677" s="18">
        <f t="shared" si="80"/>
        <v>-31.177926532935317</v>
      </c>
      <c r="F677" s="1">
        <f t="shared" si="86"/>
        <v>80</v>
      </c>
      <c r="G677" s="9">
        <f t="shared" si="82"/>
        <v>0</v>
      </c>
      <c r="H677" s="9">
        <f t="shared" si="83"/>
        <v>80</v>
      </c>
      <c r="I677" s="9">
        <f t="shared" si="84"/>
        <v>0</v>
      </c>
      <c r="J677" s="9">
        <f t="shared" si="85"/>
        <v>0</v>
      </c>
      <c r="K677" s="1">
        <f t="shared" si="87"/>
        <v>80</v>
      </c>
      <c r="L677" s="1"/>
      <c r="M677" s="3"/>
      <c r="N677" s="3"/>
      <c r="O677" s="3"/>
      <c r="P677" s="3"/>
      <c r="Q677" s="3"/>
      <c r="R677" s="1"/>
    </row>
    <row r="678" spans="2:18" x14ac:dyDescent="0.2">
      <c r="B678">
        <v>666</v>
      </c>
      <c r="C678" s="1">
        <v>0.39601551716641537</v>
      </c>
      <c r="D678" s="1">
        <f t="shared" si="81"/>
        <v>111.36125834190534</v>
      </c>
      <c r="E678" s="18">
        <f t="shared" si="80"/>
        <v>-31.361258341905341</v>
      </c>
      <c r="F678" s="1">
        <f t="shared" si="86"/>
        <v>80</v>
      </c>
      <c r="G678" s="9">
        <f t="shared" si="82"/>
        <v>0</v>
      </c>
      <c r="H678" s="9">
        <f t="shared" si="83"/>
        <v>80</v>
      </c>
      <c r="I678" s="9">
        <f t="shared" si="84"/>
        <v>0</v>
      </c>
      <c r="J678" s="9">
        <f t="shared" si="85"/>
        <v>0</v>
      </c>
      <c r="K678" s="1">
        <f t="shared" si="87"/>
        <v>80</v>
      </c>
      <c r="L678" s="1"/>
      <c r="M678" s="3"/>
      <c r="N678" s="3"/>
      <c r="O678" s="3"/>
      <c r="P678" s="3"/>
      <c r="Q678" s="3"/>
      <c r="R678" s="1"/>
    </row>
    <row r="679" spans="2:18" x14ac:dyDescent="0.2">
      <c r="B679">
        <v>667</v>
      </c>
      <c r="C679" s="1">
        <v>0.39678288040422394</v>
      </c>
      <c r="D679" s="1">
        <f t="shared" si="81"/>
        <v>111.41254286861812</v>
      </c>
      <c r="E679" s="18">
        <f t="shared" si="80"/>
        <v>-31.412542868618118</v>
      </c>
      <c r="F679" s="1">
        <f t="shared" si="86"/>
        <v>80</v>
      </c>
      <c r="G679" s="9">
        <f t="shared" si="82"/>
        <v>0</v>
      </c>
      <c r="H679" s="9">
        <f t="shared" si="83"/>
        <v>80</v>
      </c>
      <c r="I679" s="9">
        <f t="shared" si="84"/>
        <v>0</v>
      </c>
      <c r="J679" s="9">
        <f t="shared" si="85"/>
        <v>0</v>
      </c>
      <c r="K679" s="1">
        <f t="shared" si="87"/>
        <v>80</v>
      </c>
      <c r="L679" s="1"/>
      <c r="M679" s="3"/>
      <c r="N679" s="3"/>
      <c r="O679" s="3"/>
      <c r="P679" s="3"/>
      <c r="Q679" s="3"/>
      <c r="R679" s="1"/>
    </row>
    <row r="680" spans="2:18" x14ac:dyDescent="0.2">
      <c r="B680">
        <v>668</v>
      </c>
      <c r="C680" s="1">
        <v>0.39916952786287807</v>
      </c>
      <c r="D680" s="1">
        <f t="shared" si="81"/>
        <v>111.57219863132157</v>
      </c>
      <c r="E680" s="18">
        <f t="shared" si="80"/>
        <v>-31.572198631321569</v>
      </c>
      <c r="F680" s="1">
        <f t="shared" si="86"/>
        <v>80</v>
      </c>
      <c r="G680" s="9">
        <f t="shared" si="82"/>
        <v>0</v>
      </c>
      <c r="H680" s="9">
        <f t="shared" si="83"/>
        <v>80</v>
      </c>
      <c r="I680" s="9">
        <f t="shared" si="84"/>
        <v>0</v>
      </c>
      <c r="J680" s="9">
        <f t="shared" si="85"/>
        <v>0</v>
      </c>
      <c r="K680" s="1">
        <f t="shared" si="87"/>
        <v>80</v>
      </c>
      <c r="L680" s="1"/>
      <c r="M680" s="3"/>
      <c r="N680" s="3"/>
      <c r="O680" s="3"/>
      <c r="P680" s="3"/>
      <c r="Q680" s="3"/>
      <c r="R680" s="1"/>
    </row>
    <row r="681" spans="2:18" x14ac:dyDescent="0.2">
      <c r="B681">
        <v>669</v>
      </c>
      <c r="C681" s="1">
        <v>0.40077107733256079</v>
      </c>
      <c r="D681" s="1">
        <f t="shared" si="81"/>
        <v>111.6794631972499</v>
      </c>
      <c r="E681" s="18">
        <f t="shared" si="80"/>
        <v>-31.679463197249902</v>
      </c>
      <c r="F681" s="1">
        <f t="shared" si="86"/>
        <v>80</v>
      </c>
      <c r="G681" s="9">
        <f t="shared" si="82"/>
        <v>0</v>
      </c>
      <c r="H681" s="9">
        <f t="shared" si="83"/>
        <v>80</v>
      </c>
      <c r="I681" s="9">
        <f t="shared" si="84"/>
        <v>0</v>
      </c>
      <c r="J681" s="9">
        <f t="shared" si="85"/>
        <v>0</v>
      </c>
      <c r="K681" s="1">
        <f t="shared" si="87"/>
        <v>80</v>
      </c>
      <c r="L681" s="1"/>
      <c r="M681" s="3"/>
      <c r="N681" s="3"/>
      <c r="O681" s="3"/>
      <c r="P681" s="3"/>
      <c r="Q681" s="3"/>
      <c r="R681" s="1"/>
    </row>
    <row r="682" spans="2:18" x14ac:dyDescent="0.2">
      <c r="B682">
        <v>670</v>
      </c>
      <c r="C682" s="1">
        <v>0.40240362315765121</v>
      </c>
      <c r="D682" s="1">
        <f t="shared" si="81"/>
        <v>111.78890989635907</v>
      </c>
      <c r="E682" s="18">
        <f t="shared" si="80"/>
        <v>-31.788909896359073</v>
      </c>
      <c r="F682" s="1">
        <f t="shared" si="86"/>
        <v>80</v>
      </c>
      <c r="G682" s="9">
        <f t="shared" si="82"/>
        <v>0</v>
      </c>
      <c r="H682" s="9">
        <f t="shared" si="83"/>
        <v>80</v>
      </c>
      <c r="I682" s="9">
        <f t="shared" si="84"/>
        <v>0</v>
      </c>
      <c r="J682" s="9">
        <f t="shared" si="85"/>
        <v>0</v>
      </c>
      <c r="K682" s="1">
        <f t="shared" si="87"/>
        <v>80</v>
      </c>
      <c r="L682" s="1"/>
      <c r="M682" s="3"/>
      <c r="N682" s="3"/>
      <c r="O682" s="3"/>
      <c r="P682" s="3"/>
      <c r="Q682" s="3"/>
      <c r="R682" s="1"/>
    </row>
    <row r="683" spans="2:18" x14ac:dyDescent="0.2">
      <c r="B683">
        <v>671</v>
      </c>
      <c r="C683" s="1">
        <v>0.40242746725084411</v>
      </c>
      <c r="D683" s="1">
        <f t="shared" si="81"/>
        <v>111.7905092109106</v>
      </c>
      <c r="E683" s="18">
        <f t="shared" si="80"/>
        <v>-31.790509210910599</v>
      </c>
      <c r="F683" s="1">
        <f t="shared" si="86"/>
        <v>80</v>
      </c>
      <c r="G683" s="9">
        <f t="shared" si="82"/>
        <v>0</v>
      </c>
      <c r="H683" s="9">
        <f t="shared" si="83"/>
        <v>80</v>
      </c>
      <c r="I683" s="9">
        <f t="shared" si="84"/>
        <v>0</v>
      </c>
      <c r="J683" s="9">
        <f t="shared" si="85"/>
        <v>0</v>
      </c>
      <c r="K683" s="1">
        <f t="shared" si="87"/>
        <v>80</v>
      </c>
      <c r="L683" s="1"/>
      <c r="M683" s="3"/>
      <c r="N683" s="3"/>
      <c r="O683" s="3"/>
      <c r="P683" s="3"/>
      <c r="Q683" s="3"/>
      <c r="R683" s="1"/>
    </row>
    <row r="684" spans="2:18" x14ac:dyDescent="0.2">
      <c r="B684">
        <v>672</v>
      </c>
      <c r="C684" s="1">
        <v>0.40725954630534994</v>
      </c>
      <c r="D684" s="1">
        <f t="shared" si="81"/>
        <v>112.1150878472726</v>
      </c>
      <c r="E684" s="18">
        <f t="shared" si="80"/>
        <v>-32.115087847272605</v>
      </c>
      <c r="F684" s="1">
        <f t="shared" si="86"/>
        <v>80</v>
      </c>
      <c r="G684" s="9">
        <f t="shared" si="82"/>
        <v>0</v>
      </c>
      <c r="H684" s="9">
        <f t="shared" si="83"/>
        <v>80</v>
      </c>
      <c r="I684" s="9">
        <f t="shared" si="84"/>
        <v>0</v>
      </c>
      <c r="J684" s="9">
        <f t="shared" si="85"/>
        <v>0</v>
      </c>
      <c r="K684" s="1">
        <f t="shared" si="87"/>
        <v>80</v>
      </c>
      <c r="L684" s="1"/>
      <c r="M684" s="3"/>
      <c r="N684" s="3"/>
      <c r="O684" s="3"/>
      <c r="P684" s="3"/>
      <c r="Q684" s="3"/>
      <c r="R684" s="1"/>
    </row>
    <row r="685" spans="2:18" x14ac:dyDescent="0.2">
      <c r="B685">
        <v>673</v>
      </c>
      <c r="C685" s="1">
        <v>0.40744881684587614</v>
      </c>
      <c r="D685" s="1">
        <f t="shared" si="81"/>
        <v>112.12782062020736</v>
      </c>
      <c r="E685" s="18">
        <f t="shared" si="80"/>
        <v>-32.127820620207359</v>
      </c>
      <c r="F685" s="1">
        <f t="shared" si="86"/>
        <v>80</v>
      </c>
      <c r="G685" s="9">
        <f t="shared" si="82"/>
        <v>0</v>
      </c>
      <c r="H685" s="9">
        <f t="shared" si="83"/>
        <v>80</v>
      </c>
      <c r="I685" s="9">
        <f t="shared" si="84"/>
        <v>0</v>
      </c>
      <c r="J685" s="9">
        <f t="shared" si="85"/>
        <v>0</v>
      </c>
      <c r="K685" s="1">
        <f t="shared" si="87"/>
        <v>80</v>
      </c>
      <c r="L685" s="1"/>
      <c r="M685" s="3"/>
      <c r="N685" s="3"/>
      <c r="O685" s="3"/>
      <c r="P685" s="3"/>
      <c r="Q685" s="3"/>
      <c r="R685" s="1"/>
    </row>
    <row r="686" spans="2:18" x14ac:dyDescent="0.2">
      <c r="B686">
        <v>674</v>
      </c>
      <c r="C686" s="1">
        <v>0.41713560088219331</v>
      </c>
      <c r="D686" s="1">
        <f t="shared" si="81"/>
        <v>112.78141293229621</v>
      </c>
      <c r="E686" s="18">
        <f t="shared" si="80"/>
        <v>-32.781412932296206</v>
      </c>
      <c r="F686" s="1">
        <f t="shared" si="86"/>
        <v>80</v>
      </c>
      <c r="G686" s="9">
        <f t="shared" si="82"/>
        <v>0</v>
      </c>
      <c r="H686" s="9">
        <f t="shared" si="83"/>
        <v>80</v>
      </c>
      <c r="I686" s="9">
        <f t="shared" si="84"/>
        <v>0</v>
      </c>
      <c r="J686" s="9">
        <f t="shared" si="85"/>
        <v>0</v>
      </c>
      <c r="K686" s="1">
        <f t="shared" si="87"/>
        <v>80</v>
      </c>
      <c r="L686" s="1"/>
      <c r="M686" s="3"/>
      <c r="N686" s="3"/>
      <c r="O686" s="3"/>
      <c r="P686" s="3"/>
      <c r="Q686" s="3"/>
      <c r="R686" s="1"/>
    </row>
    <row r="687" spans="2:18" x14ac:dyDescent="0.2">
      <c r="B687">
        <v>675</v>
      </c>
      <c r="C687" s="1">
        <v>0.41789424210526988</v>
      </c>
      <c r="D687" s="1">
        <f t="shared" si="81"/>
        <v>112.83276099526516</v>
      </c>
      <c r="E687" s="18">
        <f t="shared" si="80"/>
        <v>-32.832760995265161</v>
      </c>
      <c r="F687" s="1">
        <f t="shared" si="86"/>
        <v>80</v>
      </c>
      <c r="G687" s="9">
        <f t="shared" si="82"/>
        <v>0</v>
      </c>
      <c r="H687" s="9">
        <f t="shared" si="83"/>
        <v>80</v>
      </c>
      <c r="I687" s="9">
        <f t="shared" si="84"/>
        <v>0</v>
      </c>
      <c r="J687" s="9">
        <f t="shared" si="85"/>
        <v>0</v>
      </c>
      <c r="K687" s="1">
        <f t="shared" si="87"/>
        <v>80</v>
      </c>
      <c r="L687" s="1"/>
      <c r="M687" s="3"/>
      <c r="N687" s="3"/>
      <c r="O687" s="3"/>
      <c r="P687" s="3"/>
      <c r="Q687" s="3"/>
      <c r="R687" s="1"/>
    </row>
    <row r="688" spans="2:18" x14ac:dyDescent="0.2">
      <c r="B688">
        <v>676</v>
      </c>
      <c r="C688" s="1">
        <v>0.4180322702125398</v>
      </c>
      <c r="D688" s="1">
        <f t="shared" si="81"/>
        <v>112.84210583767802</v>
      </c>
      <c r="E688" s="18">
        <f t="shared" si="80"/>
        <v>-32.842105837678019</v>
      </c>
      <c r="F688" s="1">
        <f t="shared" si="86"/>
        <v>80</v>
      </c>
      <c r="G688" s="9">
        <f t="shared" si="82"/>
        <v>0</v>
      </c>
      <c r="H688" s="9">
        <f t="shared" si="83"/>
        <v>80</v>
      </c>
      <c r="I688" s="9">
        <f t="shared" si="84"/>
        <v>0</v>
      </c>
      <c r="J688" s="9">
        <f t="shared" si="85"/>
        <v>0</v>
      </c>
      <c r="K688" s="1">
        <f t="shared" si="87"/>
        <v>80</v>
      </c>
      <c r="L688" s="1"/>
      <c r="M688" s="3"/>
      <c r="N688" s="3"/>
      <c r="O688" s="3"/>
      <c r="P688" s="3"/>
      <c r="Q688" s="3"/>
      <c r="R688" s="1"/>
    </row>
    <row r="689" spans="2:18" x14ac:dyDescent="0.2">
      <c r="B689">
        <v>677</v>
      </c>
      <c r="C689" s="1">
        <v>0.41862477710322016</v>
      </c>
      <c r="D689" s="1">
        <f t="shared" si="81"/>
        <v>112.88222880435634</v>
      </c>
      <c r="E689" s="18">
        <f t="shared" si="80"/>
        <v>-32.882228804356345</v>
      </c>
      <c r="F689" s="1">
        <f t="shared" si="86"/>
        <v>80</v>
      </c>
      <c r="G689" s="9">
        <f t="shared" si="82"/>
        <v>0</v>
      </c>
      <c r="H689" s="9">
        <f t="shared" si="83"/>
        <v>80</v>
      </c>
      <c r="I689" s="9">
        <f t="shared" si="84"/>
        <v>0</v>
      </c>
      <c r="J689" s="9">
        <f t="shared" si="85"/>
        <v>0</v>
      </c>
      <c r="K689" s="1">
        <f t="shared" si="87"/>
        <v>80</v>
      </c>
      <c r="L689" s="1"/>
      <c r="M689" s="3"/>
      <c r="N689" s="3"/>
      <c r="O689" s="3"/>
      <c r="P689" s="3"/>
      <c r="Q689" s="3"/>
      <c r="R689" s="1"/>
    </row>
    <row r="690" spans="2:18" x14ac:dyDescent="0.2">
      <c r="B690">
        <v>678</v>
      </c>
      <c r="C690" s="1">
        <v>0.41874576691995186</v>
      </c>
      <c r="D690" s="1">
        <f t="shared" si="81"/>
        <v>112.89042366190623</v>
      </c>
      <c r="E690" s="18">
        <f t="shared" si="80"/>
        <v>-32.890423661906226</v>
      </c>
      <c r="F690" s="1">
        <f t="shared" si="86"/>
        <v>80</v>
      </c>
      <c r="G690" s="9">
        <f t="shared" si="82"/>
        <v>0</v>
      </c>
      <c r="H690" s="9">
        <f t="shared" si="83"/>
        <v>80</v>
      </c>
      <c r="I690" s="9">
        <f t="shared" si="84"/>
        <v>0</v>
      </c>
      <c r="J690" s="9">
        <f t="shared" si="85"/>
        <v>0</v>
      </c>
      <c r="K690" s="1">
        <f t="shared" si="87"/>
        <v>80</v>
      </c>
      <c r="L690" s="1"/>
      <c r="M690" s="3"/>
      <c r="N690" s="3"/>
      <c r="O690" s="3"/>
      <c r="P690" s="3"/>
      <c r="Q690" s="3"/>
      <c r="R690" s="1"/>
    </row>
    <row r="691" spans="2:18" x14ac:dyDescent="0.2">
      <c r="B691">
        <v>679</v>
      </c>
      <c r="C691" s="1">
        <v>0.42023398725546252</v>
      </c>
      <c r="D691" s="1">
        <f t="shared" si="81"/>
        <v>112.99127217515475</v>
      </c>
      <c r="E691" s="18">
        <f t="shared" si="80"/>
        <v>-32.991272175154748</v>
      </c>
      <c r="F691" s="1">
        <f t="shared" si="86"/>
        <v>80</v>
      </c>
      <c r="G691" s="9">
        <f t="shared" si="82"/>
        <v>0</v>
      </c>
      <c r="H691" s="9">
        <f t="shared" si="83"/>
        <v>80</v>
      </c>
      <c r="I691" s="9">
        <f t="shared" si="84"/>
        <v>0</v>
      </c>
      <c r="J691" s="9">
        <f t="shared" si="85"/>
        <v>0</v>
      </c>
      <c r="K691" s="1">
        <f t="shared" si="87"/>
        <v>80</v>
      </c>
      <c r="L691" s="1"/>
      <c r="M691" s="3"/>
      <c r="N691" s="3"/>
      <c r="O691" s="3"/>
      <c r="P691" s="3"/>
      <c r="Q691" s="3"/>
      <c r="R691" s="1"/>
    </row>
    <row r="692" spans="2:18" x14ac:dyDescent="0.2">
      <c r="B692">
        <v>680</v>
      </c>
      <c r="C692" s="1">
        <v>0.43798732388577694</v>
      </c>
      <c r="D692" s="1">
        <f t="shared" si="81"/>
        <v>114.2012885370207</v>
      </c>
      <c r="E692" s="18">
        <f t="shared" si="80"/>
        <v>-34.201288537020702</v>
      </c>
      <c r="F692" s="1">
        <f t="shared" si="86"/>
        <v>80</v>
      </c>
      <c r="G692" s="9">
        <f t="shared" si="82"/>
        <v>0</v>
      </c>
      <c r="H692" s="9">
        <f t="shared" si="83"/>
        <v>80</v>
      </c>
      <c r="I692" s="9">
        <f t="shared" si="84"/>
        <v>0</v>
      </c>
      <c r="J692" s="9">
        <f t="shared" si="85"/>
        <v>0</v>
      </c>
      <c r="K692" s="1">
        <f t="shared" si="87"/>
        <v>80</v>
      </c>
      <c r="L692" s="1"/>
      <c r="M692" s="3"/>
      <c r="N692" s="3"/>
      <c r="O692" s="3"/>
      <c r="P692" s="3"/>
      <c r="Q692" s="3"/>
      <c r="R692" s="1"/>
    </row>
    <row r="693" spans="2:18" x14ac:dyDescent="0.2">
      <c r="B693">
        <v>681</v>
      </c>
      <c r="C693" s="1">
        <v>0.44322532097969902</v>
      </c>
      <c r="D693" s="1">
        <f t="shared" si="81"/>
        <v>114.56076473220362</v>
      </c>
      <c r="E693" s="18">
        <f t="shared" si="80"/>
        <v>-34.560764732203623</v>
      </c>
      <c r="F693" s="1">
        <f t="shared" si="86"/>
        <v>80</v>
      </c>
      <c r="G693" s="9">
        <f t="shared" si="82"/>
        <v>0</v>
      </c>
      <c r="H693" s="9">
        <f t="shared" si="83"/>
        <v>80</v>
      </c>
      <c r="I693" s="9">
        <f t="shared" si="84"/>
        <v>0</v>
      </c>
      <c r="J693" s="9">
        <f t="shared" si="85"/>
        <v>0</v>
      </c>
      <c r="K693" s="1">
        <f t="shared" si="87"/>
        <v>80</v>
      </c>
      <c r="L693" s="1"/>
      <c r="M693" s="3"/>
      <c r="N693" s="3"/>
      <c r="O693" s="3"/>
      <c r="P693" s="3"/>
      <c r="Q693" s="3"/>
      <c r="R693" s="1"/>
    </row>
    <row r="694" spans="2:18" x14ac:dyDescent="0.2">
      <c r="B694">
        <v>682</v>
      </c>
      <c r="C694" s="1">
        <v>0.44325921989475925</v>
      </c>
      <c r="D694" s="1">
        <f t="shared" si="81"/>
        <v>114.56309484727979</v>
      </c>
      <c r="E694" s="18">
        <f t="shared" si="80"/>
        <v>-34.563094847279785</v>
      </c>
      <c r="F694" s="1">
        <f t="shared" si="86"/>
        <v>80</v>
      </c>
      <c r="G694" s="9">
        <f t="shared" si="82"/>
        <v>0</v>
      </c>
      <c r="H694" s="9">
        <f t="shared" si="83"/>
        <v>80</v>
      </c>
      <c r="I694" s="9">
        <f t="shared" si="84"/>
        <v>0</v>
      </c>
      <c r="J694" s="9">
        <f t="shared" si="85"/>
        <v>0</v>
      </c>
      <c r="K694" s="1">
        <f t="shared" si="87"/>
        <v>80</v>
      </c>
      <c r="L694" s="1"/>
      <c r="M694" s="3"/>
      <c r="N694" s="3"/>
      <c r="O694" s="3"/>
      <c r="P694" s="3"/>
      <c r="Q694" s="3"/>
      <c r="R694" s="1"/>
    </row>
    <row r="695" spans="2:18" x14ac:dyDescent="0.2">
      <c r="B695">
        <v>683</v>
      </c>
      <c r="C695" s="1">
        <v>0.44605340536645732</v>
      </c>
      <c r="D695" s="1">
        <f t="shared" si="81"/>
        <v>114.7553222590969</v>
      </c>
      <c r="E695" s="18">
        <f t="shared" si="80"/>
        <v>-34.7553222590969</v>
      </c>
      <c r="F695" s="1">
        <f t="shared" si="86"/>
        <v>80</v>
      </c>
      <c r="G695" s="9">
        <f t="shared" si="82"/>
        <v>0</v>
      </c>
      <c r="H695" s="9">
        <f t="shared" si="83"/>
        <v>80</v>
      </c>
      <c r="I695" s="9">
        <f t="shared" si="84"/>
        <v>0</v>
      </c>
      <c r="J695" s="9">
        <f t="shared" si="85"/>
        <v>0</v>
      </c>
      <c r="K695" s="1">
        <f t="shared" si="87"/>
        <v>80</v>
      </c>
      <c r="L695" s="1"/>
      <c r="M695" s="3"/>
      <c r="N695" s="3"/>
      <c r="O695" s="3"/>
      <c r="P695" s="3"/>
      <c r="Q695" s="3"/>
      <c r="R695" s="1"/>
    </row>
    <row r="696" spans="2:18" x14ac:dyDescent="0.2">
      <c r="B696">
        <v>684</v>
      </c>
      <c r="C696" s="1">
        <v>0.45907678327954698</v>
      </c>
      <c r="D696" s="1">
        <f t="shared" si="81"/>
        <v>115.65553598323881</v>
      </c>
      <c r="E696" s="18">
        <f t="shared" ref="E696:E759" si="88">-MIN(D696-F,(-IF(AND(D696&gt;=F-dis, D696&lt;F), F-D696, IF(D696&gt;=F, $E$7, 0))))</f>
        <v>-35.655535983238806</v>
      </c>
      <c r="F696" s="1">
        <f t="shared" si="86"/>
        <v>80</v>
      </c>
      <c r="G696" s="9">
        <f t="shared" si="82"/>
        <v>0</v>
      </c>
      <c r="H696" s="9">
        <f t="shared" si="83"/>
        <v>80</v>
      </c>
      <c r="I696" s="9">
        <f t="shared" si="84"/>
        <v>0</v>
      </c>
      <c r="J696" s="9">
        <f t="shared" si="85"/>
        <v>0</v>
      </c>
      <c r="K696" s="1">
        <f t="shared" si="87"/>
        <v>80</v>
      </c>
      <c r="L696" s="1"/>
      <c r="M696" s="3"/>
      <c r="N696" s="3"/>
      <c r="O696" s="3"/>
      <c r="P696" s="3"/>
      <c r="Q696" s="3"/>
      <c r="R696" s="1"/>
    </row>
    <row r="697" spans="2:18" x14ac:dyDescent="0.2">
      <c r="B697">
        <v>685</v>
      </c>
      <c r="C697" s="1">
        <v>0.46102448558022618</v>
      </c>
      <c r="D697" s="1">
        <f t="shared" si="81"/>
        <v>115.79077252011476</v>
      </c>
      <c r="E697" s="18">
        <f t="shared" si="88"/>
        <v>-35.790772520114757</v>
      </c>
      <c r="F697" s="1">
        <f t="shared" si="86"/>
        <v>80</v>
      </c>
      <c r="G697" s="9">
        <f t="shared" si="82"/>
        <v>0</v>
      </c>
      <c r="H697" s="9">
        <f t="shared" si="83"/>
        <v>80</v>
      </c>
      <c r="I697" s="9">
        <f t="shared" si="84"/>
        <v>0</v>
      </c>
      <c r="J697" s="9">
        <f t="shared" si="85"/>
        <v>0</v>
      </c>
      <c r="K697" s="1">
        <f t="shared" si="87"/>
        <v>80</v>
      </c>
      <c r="L697" s="1"/>
      <c r="M697" s="3"/>
      <c r="N697" s="3"/>
      <c r="O697" s="3"/>
      <c r="P697" s="3"/>
      <c r="Q697" s="3"/>
      <c r="R697" s="1"/>
    </row>
    <row r="698" spans="2:18" x14ac:dyDescent="0.2">
      <c r="B698">
        <v>686</v>
      </c>
      <c r="C698" s="1">
        <v>0.4616495811347518</v>
      </c>
      <c r="D698" s="1">
        <f t="shared" si="81"/>
        <v>115.83420884345581</v>
      </c>
      <c r="E698" s="18">
        <f t="shared" si="88"/>
        <v>-35.834208843455812</v>
      </c>
      <c r="F698" s="1">
        <f t="shared" si="86"/>
        <v>80</v>
      </c>
      <c r="G698" s="9">
        <f t="shared" si="82"/>
        <v>0</v>
      </c>
      <c r="H698" s="9">
        <f t="shared" si="83"/>
        <v>80</v>
      </c>
      <c r="I698" s="9">
        <f t="shared" si="84"/>
        <v>0</v>
      </c>
      <c r="J698" s="9">
        <f t="shared" si="85"/>
        <v>0</v>
      </c>
      <c r="K698" s="1">
        <f t="shared" si="87"/>
        <v>80</v>
      </c>
      <c r="L698" s="1"/>
      <c r="M698" s="3"/>
      <c r="N698" s="3"/>
      <c r="O698" s="3"/>
      <c r="P698" s="3"/>
      <c r="Q698" s="3"/>
      <c r="R698" s="1"/>
    </row>
    <row r="699" spans="2:18" x14ac:dyDescent="0.2">
      <c r="B699">
        <v>687</v>
      </c>
      <c r="C699" s="1">
        <v>0.46233217672754678</v>
      </c>
      <c r="D699" s="1">
        <f t="shared" si="81"/>
        <v>115.8816593119076</v>
      </c>
      <c r="E699" s="18">
        <f t="shared" si="88"/>
        <v>-35.881659311907597</v>
      </c>
      <c r="F699" s="1">
        <f t="shared" si="86"/>
        <v>80</v>
      </c>
      <c r="G699" s="9">
        <f t="shared" si="82"/>
        <v>0</v>
      </c>
      <c r="H699" s="9">
        <f t="shared" si="83"/>
        <v>80</v>
      </c>
      <c r="I699" s="9">
        <f t="shared" si="84"/>
        <v>0</v>
      </c>
      <c r="J699" s="9">
        <f t="shared" si="85"/>
        <v>0</v>
      </c>
      <c r="K699" s="1">
        <f t="shared" si="87"/>
        <v>80</v>
      </c>
      <c r="L699" s="1"/>
      <c r="M699" s="3"/>
      <c r="N699" s="3"/>
      <c r="O699" s="3"/>
      <c r="P699" s="3"/>
      <c r="Q699" s="3"/>
      <c r="R699" s="1"/>
    </row>
    <row r="700" spans="2:18" x14ac:dyDescent="0.2">
      <c r="B700">
        <v>688</v>
      </c>
      <c r="C700" s="1">
        <v>0.46659046577547153</v>
      </c>
      <c r="D700" s="1">
        <f t="shared" si="81"/>
        <v>116.17811242597647</v>
      </c>
      <c r="E700" s="18">
        <f t="shared" si="88"/>
        <v>-36.178112425976465</v>
      </c>
      <c r="F700" s="1">
        <f t="shared" si="86"/>
        <v>80</v>
      </c>
      <c r="G700" s="9">
        <f t="shared" si="82"/>
        <v>0</v>
      </c>
      <c r="H700" s="9">
        <f t="shared" si="83"/>
        <v>80</v>
      </c>
      <c r="I700" s="9">
        <f t="shared" si="84"/>
        <v>0</v>
      </c>
      <c r="J700" s="9">
        <f t="shared" si="85"/>
        <v>0</v>
      </c>
      <c r="K700" s="1">
        <f t="shared" si="87"/>
        <v>80</v>
      </c>
      <c r="L700" s="1"/>
      <c r="M700" s="3"/>
      <c r="N700" s="3"/>
      <c r="O700" s="3"/>
      <c r="P700" s="3"/>
      <c r="Q700" s="3"/>
      <c r="R700" s="1"/>
    </row>
    <row r="701" spans="2:18" x14ac:dyDescent="0.2">
      <c r="B701">
        <v>689</v>
      </c>
      <c r="C701" s="1">
        <v>0.4737890046368779</v>
      </c>
      <c r="D701" s="1">
        <f t="shared" si="81"/>
        <v>116.68098522332446</v>
      </c>
      <c r="E701" s="18">
        <f t="shared" si="88"/>
        <v>-36.680985223324456</v>
      </c>
      <c r="F701" s="1">
        <f t="shared" si="86"/>
        <v>80</v>
      </c>
      <c r="G701" s="9">
        <f t="shared" si="82"/>
        <v>0</v>
      </c>
      <c r="H701" s="9">
        <f t="shared" si="83"/>
        <v>80</v>
      </c>
      <c r="I701" s="9">
        <f t="shared" si="84"/>
        <v>0</v>
      </c>
      <c r="J701" s="9">
        <f t="shared" si="85"/>
        <v>0</v>
      </c>
      <c r="K701" s="1">
        <f t="shared" si="87"/>
        <v>80</v>
      </c>
      <c r="L701" s="1"/>
      <c r="M701" s="3"/>
      <c r="N701" s="3"/>
      <c r="O701" s="3"/>
      <c r="P701" s="3"/>
      <c r="Q701" s="3"/>
      <c r="R701" s="1"/>
    </row>
    <row r="702" spans="2:18" x14ac:dyDescent="0.2">
      <c r="B702">
        <v>690</v>
      </c>
      <c r="C702" s="1">
        <v>0.47951825350744648</v>
      </c>
      <c r="D702" s="1">
        <f t="shared" si="81"/>
        <v>117.08277205037557</v>
      </c>
      <c r="E702" s="18">
        <f t="shared" si="88"/>
        <v>-37.082772050375567</v>
      </c>
      <c r="F702" s="1">
        <f t="shared" si="86"/>
        <v>80</v>
      </c>
      <c r="G702" s="9">
        <f t="shared" si="82"/>
        <v>0</v>
      </c>
      <c r="H702" s="9">
        <f t="shared" si="83"/>
        <v>80</v>
      </c>
      <c r="I702" s="9">
        <f t="shared" si="84"/>
        <v>0</v>
      </c>
      <c r="J702" s="9">
        <f t="shared" si="85"/>
        <v>0</v>
      </c>
      <c r="K702" s="1">
        <f t="shared" si="87"/>
        <v>80</v>
      </c>
      <c r="L702" s="1"/>
      <c r="M702" s="3"/>
      <c r="N702" s="3"/>
      <c r="O702" s="3"/>
      <c r="P702" s="3"/>
      <c r="Q702" s="3"/>
      <c r="R702" s="1"/>
    </row>
    <row r="703" spans="2:18" x14ac:dyDescent="0.2">
      <c r="B703">
        <v>691</v>
      </c>
      <c r="C703" s="1">
        <v>0.48417918372139074</v>
      </c>
      <c r="D703" s="1">
        <f t="shared" si="81"/>
        <v>117.41065909213746</v>
      </c>
      <c r="E703" s="18">
        <f t="shared" si="88"/>
        <v>-37.410659092137465</v>
      </c>
      <c r="F703" s="1">
        <f t="shared" si="86"/>
        <v>80</v>
      </c>
      <c r="G703" s="9">
        <f t="shared" si="82"/>
        <v>0</v>
      </c>
      <c r="H703" s="9">
        <f t="shared" si="83"/>
        <v>80</v>
      </c>
      <c r="I703" s="9">
        <f t="shared" si="84"/>
        <v>0</v>
      </c>
      <c r="J703" s="9">
        <f t="shared" si="85"/>
        <v>0</v>
      </c>
      <c r="K703" s="1">
        <f t="shared" si="87"/>
        <v>80</v>
      </c>
      <c r="L703" s="1"/>
      <c r="M703" s="3"/>
      <c r="N703" s="3"/>
      <c r="O703" s="3"/>
      <c r="P703" s="3"/>
      <c r="Q703" s="3"/>
      <c r="R703" s="1"/>
    </row>
    <row r="704" spans="2:18" x14ac:dyDescent="0.2">
      <c r="B704">
        <v>692</v>
      </c>
      <c r="C704" s="1">
        <v>0.48774778018645221</v>
      </c>
      <c r="D704" s="1">
        <f t="shared" si="81"/>
        <v>117.66232318006051</v>
      </c>
      <c r="E704" s="18">
        <f t="shared" si="88"/>
        <v>-37.662323180060511</v>
      </c>
      <c r="F704" s="1">
        <f t="shared" si="86"/>
        <v>80</v>
      </c>
      <c r="G704" s="9">
        <f t="shared" si="82"/>
        <v>0</v>
      </c>
      <c r="H704" s="9">
        <f t="shared" si="83"/>
        <v>80</v>
      </c>
      <c r="I704" s="9">
        <f t="shared" si="84"/>
        <v>0</v>
      </c>
      <c r="J704" s="9">
        <f t="shared" si="85"/>
        <v>0</v>
      </c>
      <c r="K704" s="1">
        <f t="shared" si="87"/>
        <v>80</v>
      </c>
      <c r="L704" s="1"/>
      <c r="M704" s="3"/>
      <c r="N704" s="3"/>
      <c r="O704" s="3"/>
      <c r="P704" s="3"/>
      <c r="Q704" s="3"/>
      <c r="R704" s="1"/>
    </row>
    <row r="705" spans="2:18" x14ac:dyDescent="0.2">
      <c r="B705">
        <v>693</v>
      </c>
      <c r="C705" s="1">
        <v>0.49233646767078915</v>
      </c>
      <c r="D705" s="1">
        <f t="shared" si="81"/>
        <v>117.98671891819741</v>
      </c>
      <c r="E705" s="18">
        <f t="shared" si="88"/>
        <v>-37.986718918197411</v>
      </c>
      <c r="F705" s="1">
        <f t="shared" si="86"/>
        <v>80</v>
      </c>
      <c r="G705" s="9">
        <f t="shared" si="82"/>
        <v>0</v>
      </c>
      <c r="H705" s="9">
        <f t="shared" si="83"/>
        <v>80</v>
      </c>
      <c r="I705" s="9">
        <f t="shared" si="84"/>
        <v>0</v>
      </c>
      <c r="J705" s="9">
        <f t="shared" si="85"/>
        <v>0</v>
      </c>
      <c r="K705" s="1">
        <f t="shared" si="87"/>
        <v>80</v>
      </c>
      <c r="L705" s="1"/>
      <c r="M705" s="3"/>
      <c r="N705" s="3"/>
      <c r="O705" s="3"/>
      <c r="P705" s="3"/>
      <c r="Q705" s="3"/>
      <c r="R705" s="1"/>
    </row>
    <row r="706" spans="2:18" x14ac:dyDescent="0.2">
      <c r="B706">
        <v>694</v>
      </c>
      <c r="C706" s="1">
        <v>0.49937608184287297</v>
      </c>
      <c r="D706" s="1">
        <f t="shared" si="81"/>
        <v>118.48612144323975</v>
      </c>
      <c r="E706" s="18">
        <f t="shared" si="88"/>
        <v>-38.486121443239753</v>
      </c>
      <c r="F706" s="1">
        <f t="shared" si="86"/>
        <v>80</v>
      </c>
      <c r="G706" s="9">
        <f t="shared" si="82"/>
        <v>0</v>
      </c>
      <c r="H706" s="9">
        <f t="shared" si="83"/>
        <v>80</v>
      </c>
      <c r="I706" s="9">
        <f t="shared" si="84"/>
        <v>0</v>
      </c>
      <c r="J706" s="9">
        <f t="shared" si="85"/>
        <v>0</v>
      </c>
      <c r="K706" s="1">
        <f t="shared" si="87"/>
        <v>80</v>
      </c>
      <c r="L706" s="1"/>
      <c r="M706" s="3"/>
      <c r="N706" s="3"/>
      <c r="O706" s="3"/>
      <c r="P706" s="3"/>
      <c r="Q706" s="3"/>
      <c r="R706" s="1"/>
    </row>
    <row r="707" spans="2:18" x14ac:dyDescent="0.2">
      <c r="B707">
        <v>695</v>
      </c>
      <c r="C707" s="1">
        <v>0.49939963405367199</v>
      </c>
      <c r="D707" s="1">
        <f t="shared" si="81"/>
        <v>118.48779582113571</v>
      </c>
      <c r="E707" s="18">
        <f t="shared" si="88"/>
        <v>-38.487795821135705</v>
      </c>
      <c r="F707" s="1">
        <f t="shared" si="86"/>
        <v>80</v>
      </c>
      <c r="G707" s="9">
        <f t="shared" si="82"/>
        <v>0</v>
      </c>
      <c r="H707" s="9">
        <f t="shared" si="83"/>
        <v>80</v>
      </c>
      <c r="I707" s="9">
        <f t="shared" si="84"/>
        <v>0</v>
      </c>
      <c r="J707" s="9">
        <f t="shared" si="85"/>
        <v>0</v>
      </c>
      <c r="K707" s="1">
        <f t="shared" si="87"/>
        <v>80</v>
      </c>
      <c r="L707" s="1"/>
      <c r="M707" s="3"/>
      <c r="N707" s="3"/>
      <c r="O707" s="3"/>
      <c r="P707" s="3"/>
      <c r="Q707" s="3"/>
      <c r="R707" s="1"/>
    </row>
    <row r="708" spans="2:18" x14ac:dyDescent="0.2">
      <c r="B708">
        <v>696</v>
      </c>
      <c r="C708" s="1">
        <v>0.50562663588274093</v>
      </c>
      <c r="D708" s="1">
        <f t="shared" si="81"/>
        <v>118.93131808216076</v>
      </c>
      <c r="E708" s="18">
        <f t="shared" si="88"/>
        <v>-38.931318082160757</v>
      </c>
      <c r="F708" s="1">
        <f t="shared" si="86"/>
        <v>80</v>
      </c>
      <c r="G708" s="9">
        <f t="shared" si="82"/>
        <v>0</v>
      </c>
      <c r="H708" s="9">
        <f t="shared" si="83"/>
        <v>80</v>
      </c>
      <c r="I708" s="9">
        <f t="shared" si="84"/>
        <v>0</v>
      </c>
      <c r="J708" s="9">
        <f t="shared" si="85"/>
        <v>0</v>
      </c>
      <c r="K708" s="1">
        <f t="shared" si="87"/>
        <v>80</v>
      </c>
      <c r="L708" s="1"/>
      <c r="M708" s="3"/>
      <c r="N708" s="3"/>
      <c r="O708" s="3"/>
      <c r="P708" s="3"/>
      <c r="Q708" s="3"/>
      <c r="R708" s="1"/>
    </row>
    <row r="709" spans="2:18" x14ac:dyDescent="0.2">
      <c r="B709">
        <v>697</v>
      </c>
      <c r="C709" s="1">
        <v>0.50883865168021292</v>
      </c>
      <c r="D709" s="1">
        <f t="shared" si="81"/>
        <v>119.16074465117627</v>
      </c>
      <c r="E709" s="18">
        <f t="shared" si="88"/>
        <v>-39.160744651176273</v>
      </c>
      <c r="F709" s="1">
        <f t="shared" si="86"/>
        <v>80</v>
      </c>
      <c r="G709" s="9">
        <f t="shared" si="82"/>
        <v>0</v>
      </c>
      <c r="H709" s="9">
        <f t="shared" si="83"/>
        <v>80</v>
      </c>
      <c r="I709" s="9">
        <f t="shared" si="84"/>
        <v>0</v>
      </c>
      <c r="J709" s="9">
        <f t="shared" si="85"/>
        <v>0</v>
      </c>
      <c r="K709" s="1">
        <f t="shared" si="87"/>
        <v>80</v>
      </c>
      <c r="L709" s="1"/>
      <c r="M709" s="3"/>
      <c r="N709" s="3"/>
      <c r="O709" s="3"/>
      <c r="P709" s="3"/>
      <c r="Q709" s="3"/>
      <c r="R709" s="1"/>
    </row>
    <row r="710" spans="2:18" x14ac:dyDescent="0.2">
      <c r="B710">
        <v>698</v>
      </c>
      <c r="C710" s="1">
        <v>0.51166623016730017</v>
      </c>
      <c r="D710" s="1">
        <f t="shared" si="81"/>
        <v>119.36307805156503</v>
      </c>
      <c r="E710" s="18">
        <f t="shared" si="88"/>
        <v>-39.363078051565026</v>
      </c>
      <c r="F710" s="1">
        <f t="shared" si="86"/>
        <v>80</v>
      </c>
      <c r="G710" s="9">
        <f t="shared" si="82"/>
        <v>0</v>
      </c>
      <c r="H710" s="9">
        <f t="shared" si="83"/>
        <v>80</v>
      </c>
      <c r="I710" s="9">
        <f t="shared" si="84"/>
        <v>0</v>
      </c>
      <c r="J710" s="9">
        <f t="shared" si="85"/>
        <v>0</v>
      </c>
      <c r="K710" s="1">
        <f t="shared" si="87"/>
        <v>80</v>
      </c>
      <c r="L710" s="1"/>
      <c r="M710" s="3"/>
      <c r="N710" s="3"/>
      <c r="O710" s="3"/>
      <c r="P710" s="3"/>
      <c r="Q710" s="3"/>
      <c r="R710" s="1"/>
    </row>
    <row r="711" spans="2:18" x14ac:dyDescent="0.2">
      <c r="B711">
        <v>699</v>
      </c>
      <c r="C711" s="1">
        <v>0.5174959247576103</v>
      </c>
      <c r="D711" s="1">
        <f t="shared" si="81"/>
        <v>119.78131926494473</v>
      </c>
      <c r="E711" s="18">
        <f t="shared" si="88"/>
        <v>-39.781319264944727</v>
      </c>
      <c r="F711" s="1">
        <f t="shared" si="86"/>
        <v>80</v>
      </c>
      <c r="G711" s="9">
        <f t="shared" si="82"/>
        <v>0</v>
      </c>
      <c r="H711" s="9">
        <f t="shared" si="83"/>
        <v>80</v>
      </c>
      <c r="I711" s="9">
        <f t="shared" si="84"/>
        <v>0</v>
      </c>
      <c r="J711" s="9">
        <f t="shared" si="85"/>
        <v>0</v>
      </c>
      <c r="K711" s="1">
        <f t="shared" si="87"/>
        <v>80</v>
      </c>
      <c r="L711" s="1"/>
      <c r="M711" s="3"/>
      <c r="N711" s="3"/>
      <c r="O711" s="3"/>
      <c r="P711" s="3"/>
      <c r="Q711" s="3"/>
      <c r="R711" s="1"/>
    </row>
    <row r="712" spans="2:18" x14ac:dyDescent="0.2">
      <c r="B712">
        <v>700</v>
      </c>
      <c r="C712" s="1">
        <v>0.52713127365825141</v>
      </c>
      <c r="D712" s="1">
        <f t="shared" si="81"/>
        <v>120.4758056981285</v>
      </c>
      <c r="E712" s="18">
        <f t="shared" si="88"/>
        <v>-40.475805698128497</v>
      </c>
      <c r="F712" s="1">
        <f t="shared" si="86"/>
        <v>80</v>
      </c>
      <c r="G712" s="9">
        <f t="shared" si="82"/>
        <v>0</v>
      </c>
      <c r="H712" s="9">
        <f t="shared" si="83"/>
        <v>80</v>
      </c>
      <c r="I712" s="9">
        <f t="shared" si="84"/>
        <v>0</v>
      </c>
      <c r="J712" s="9">
        <f t="shared" si="85"/>
        <v>0</v>
      </c>
      <c r="K712" s="1">
        <f t="shared" si="87"/>
        <v>80</v>
      </c>
      <c r="L712" s="1"/>
      <c r="M712" s="3"/>
      <c r="N712" s="3"/>
      <c r="O712" s="3"/>
      <c r="P712" s="3"/>
      <c r="Q712" s="3"/>
      <c r="R712" s="1"/>
    </row>
    <row r="713" spans="2:18" x14ac:dyDescent="0.2">
      <c r="B713">
        <v>701</v>
      </c>
      <c r="C713" s="1">
        <v>0.5277272798936038</v>
      </c>
      <c r="D713" s="1">
        <f t="shared" si="81"/>
        <v>120.51889600113921</v>
      </c>
      <c r="E713" s="18">
        <f t="shared" si="88"/>
        <v>-40.518896001139211</v>
      </c>
      <c r="F713" s="1">
        <f t="shared" si="86"/>
        <v>80</v>
      </c>
      <c r="G713" s="9">
        <f t="shared" si="82"/>
        <v>0</v>
      </c>
      <c r="H713" s="9">
        <f t="shared" si="83"/>
        <v>80</v>
      </c>
      <c r="I713" s="9">
        <f t="shared" si="84"/>
        <v>0</v>
      </c>
      <c r="J713" s="9">
        <f t="shared" si="85"/>
        <v>0</v>
      </c>
      <c r="K713" s="1">
        <f t="shared" si="87"/>
        <v>80</v>
      </c>
      <c r="L713" s="1"/>
      <c r="M713" s="3"/>
      <c r="N713" s="3"/>
      <c r="O713" s="3"/>
      <c r="P713" s="3"/>
      <c r="Q713" s="3"/>
      <c r="R713" s="1"/>
    </row>
    <row r="714" spans="2:18" x14ac:dyDescent="0.2">
      <c r="B714">
        <v>702</v>
      </c>
      <c r="C714" s="1">
        <v>0.53102449921102801</v>
      </c>
      <c r="D714" s="1">
        <f t="shared" si="81"/>
        <v>120.75755833912667</v>
      </c>
      <c r="E714" s="18">
        <f t="shared" si="88"/>
        <v>-40.757558339126675</v>
      </c>
      <c r="F714" s="1">
        <f t="shared" si="86"/>
        <v>80</v>
      </c>
      <c r="G714" s="9">
        <f t="shared" si="82"/>
        <v>0</v>
      </c>
      <c r="H714" s="9">
        <f t="shared" si="83"/>
        <v>80</v>
      </c>
      <c r="I714" s="9">
        <f t="shared" si="84"/>
        <v>0</v>
      </c>
      <c r="J714" s="9">
        <f t="shared" si="85"/>
        <v>0</v>
      </c>
      <c r="K714" s="1">
        <f t="shared" si="87"/>
        <v>80</v>
      </c>
      <c r="L714" s="1"/>
      <c r="M714" s="3"/>
      <c r="N714" s="3"/>
      <c r="O714" s="3"/>
      <c r="P714" s="3"/>
      <c r="Q714" s="3"/>
      <c r="R714" s="1"/>
    </row>
    <row r="715" spans="2:18" x14ac:dyDescent="0.2">
      <c r="B715">
        <v>703</v>
      </c>
      <c r="C715" s="1">
        <v>0.53274888697118206</v>
      </c>
      <c r="D715" s="1">
        <f t="shared" si="81"/>
        <v>120.8825627081044</v>
      </c>
      <c r="E715" s="18">
        <f t="shared" si="88"/>
        <v>-40.882562708104402</v>
      </c>
      <c r="F715" s="1">
        <f t="shared" si="86"/>
        <v>80</v>
      </c>
      <c r="G715" s="9">
        <f t="shared" si="82"/>
        <v>0</v>
      </c>
      <c r="H715" s="9">
        <f t="shared" si="83"/>
        <v>80</v>
      </c>
      <c r="I715" s="9">
        <f t="shared" si="84"/>
        <v>0</v>
      </c>
      <c r="J715" s="9">
        <f t="shared" si="85"/>
        <v>0</v>
      </c>
      <c r="K715" s="1">
        <f t="shared" si="87"/>
        <v>80</v>
      </c>
      <c r="L715" s="1"/>
      <c r="M715" s="3"/>
      <c r="N715" s="3"/>
      <c r="O715" s="3"/>
      <c r="P715" s="3"/>
      <c r="Q715" s="3"/>
      <c r="R715" s="1"/>
    </row>
    <row r="716" spans="2:18" x14ac:dyDescent="0.2">
      <c r="B716">
        <v>704</v>
      </c>
      <c r="C716" s="1">
        <v>0.53671802392329993</v>
      </c>
      <c r="D716" s="1">
        <f t="shared" si="81"/>
        <v>121.17078543843786</v>
      </c>
      <c r="E716" s="18">
        <f t="shared" si="88"/>
        <v>-41.170785438437861</v>
      </c>
      <c r="F716" s="1">
        <f t="shared" si="86"/>
        <v>80</v>
      </c>
      <c r="G716" s="9">
        <f t="shared" si="82"/>
        <v>0</v>
      </c>
      <c r="H716" s="9">
        <f t="shared" si="83"/>
        <v>80</v>
      </c>
      <c r="I716" s="9">
        <f t="shared" si="84"/>
        <v>0</v>
      </c>
      <c r="J716" s="9">
        <f t="shared" si="85"/>
        <v>0</v>
      </c>
      <c r="K716" s="1">
        <f t="shared" si="87"/>
        <v>80</v>
      </c>
      <c r="L716" s="1"/>
      <c r="M716" s="3"/>
      <c r="N716" s="3"/>
      <c r="O716" s="3"/>
      <c r="P716" s="3"/>
      <c r="Q716" s="3"/>
      <c r="R716" s="1"/>
    </row>
    <row r="717" spans="2:18" x14ac:dyDescent="0.2">
      <c r="B717">
        <v>705</v>
      </c>
      <c r="C717" s="1">
        <v>0.53737551433524067</v>
      </c>
      <c r="D717" s="1">
        <f t="shared" ref="D717:D780" si="89">a0*EXP((RR-0.5*sigma^2)*T+sigma*SQRT(T)*C717)</f>
        <v>121.21859604610252</v>
      </c>
      <c r="E717" s="18">
        <f t="shared" si="88"/>
        <v>-41.218596046102519</v>
      </c>
      <c r="F717" s="1">
        <f t="shared" si="86"/>
        <v>80</v>
      </c>
      <c r="G717" s="9">
        <f t="shared" ref="G717:G780" si="90">IF(F717&lt;F,MIN(disc,F717),0)</f>
        <v>0</v>
      </c>
      <c r="H717" s="9">
        <f t="shared" ref="H717:H780" si="91">IF(F717&gt;=F,F,F717-G717)</f>
        <v>80</v>
      </c>
      <c r="I717" s="9">
        <f t="shared" ref="I717:I780" si="92">(1-tax)*(F717-G717-H717)</f>
        <v>0</v>
      </c>
      <c r="J717" s="9">
        <f t="shared" ref="J717:J780" si="93">tax*(F717-G717-H717)</f>
        <v>0</v>
      </c>
      <c r="K717" s="1">
        <f t="shared" si="87"/>
        <v>80</v>
      </c>
      <c r="L717" s="1"/>
      <c r="M717" s="3"/>
      <c r="N717" s="3"/>
      <c r="O717" s="3"/>
      <c r="P717" s="3"/>
      <c r="Q717" s="3"/>
      <c r="R717" s="1"/>
    </row>
    <row r="718" spans="2:18" x14ac:dyDescent="0.2">
      <c r="B718">
        <v>706</v>
      </c>
      <c r="C718" s="1">
        <v>0.53765535316834157</v>
      </c>
      <c r="D718" s="1">
        <f t="shared" si="89"/>
        <v>121.23895075714688</v>
      </c>
      <c r="E718" s="18">
        <f t="shared" si="88"/>
        <v>-41.238950757146881</v>
      </c>
      <c r="F718" s="1">
        <f t="shared" ref="F718:F781" si="94">D718+E718</f>
        <v>80</v>
      </c>
      <c r="G718" s="9">
        <f t="shared" si="90"/>
        <v>0</v>
      </c>
      <c r="H718" s="9">
        <f t="shared" si="91"/>
        <v>80</v>
      </c>
      <c r="I718" s="9">
        <f t="shared" si="92"/>
        <v>0</v>
      </c>
      <c r="J718" s="9">
        <f t="shared" si="93"/>
        <v>0</v>
      </c>
      <c r="K718" s="1">
        <f t="shared" ref="K718:K781" si="95">SUM(G718:J718)</f>
        <v>80</v>
      </c>
      <c r="L718" s="1"/>
      <c r="M718" s="3"/>
      <c r="N718" s="3"/>
      <c r="O718" s="3"/>
      <c r="P718" s="3"/>
      <c r="Q718" s="3"/>
      <c r="R718" s="1"/>
    </row>
    <row r="719" spans="2:18" x14ac:dyDescent="0.2">
      <c r="B719">
        <v>707</v>
      </c>
      <c r="C719" s="1">
        <v>0.54612761350193795</v>
      </c>
      <c r="D719" s="1">
        <f t="shared" si="89"/>
        <v>121.85682062498515</v>
      </c>
      <c r="E719" s="18">
        <f t="shared" si="88"/>
        <v>-41.856820624985147</v>
      </c>
      <c r="F719" s="1">
        <f t="shared" si="94"/>
        <v>80</v>
      </c>
      <c r="G719" s="9">
        <f t="shared" si="90"/>
        <v>0</v>
      </c>
      <c r="H719" s="9">
        <f t="shared" si="91"/>
        <v>80</v>
      </c>
      <c r="I719" s="9">
        <f t="shared" si="92"/>
        <v>0</v>
      </c>
      <c r="J719" s="9">
        <f t="shared" si="93"/>
        <v>0</v>
      </c>
      <c r="K719" s="1">
        <f t="shared" si="95"/>
        <v>80</v>
      </c>
      <c r="L719" s="1"/>
      <c r="M719" s="3"/>
      <c r="N719" s="3"/>
      <c r="O719" s="3"/>
      <c r="P719" s="3"/>
      <c r="Q719" s="3"/>
      <c r="R719" s="1"/>
    </row>
    <row r="720" spans="2:18" x14ac:dyDescent="0.2">
      <c r="B720">
        <v>708</v>
      </c>
      <c r="C720" s="1">
        <v>0.54705749204498144</v>
      </c>
      <c r="D720" s="1">
        <f t="shared" si="89"/>
        <v>121.92482682016517</v>
      </c>
      <c r="E720" s="18">
        <f t="shared" si="88"/>
        <v>-41.924826820165165</v>
      </c>
      <c r="F720" s="1">
        <f t="shared" si="94"/>
        <v>80</v>
      </c>
      <c r="G720" s="9">
        <f t="shared" si="90"/>
        <v>0</v>
      </c>
      <c r="H720" s="9">
        <f t="shared" si="91"/>
        <v>80</v>
      </c>
      <c r="I720" s="9">
        <f t="shared" si="92"/>
        <v>0</v>
      </c>
      <c r="J720" s="9">
        <f t="shared" si="93"/>
        <v>0</v>
      </c>
      <c r="K720" s="1">
        <f t="shared" si="95"/>
        <v>80</v>
      </c>
      <c r="L720" s="1"/>
      <c r="M720" s="3"/>
      <c r="N720" s="3"/>
      <c r="O720" s="3"/>
      <c r="P720" s="3"/>
      <c r="Q720" s="3"/>
      <c r="R720" s="1"/>
    </row>
    <row r="721" spans="2:18" x14ac:dyDescent="0.2">
      <c r="B721">
        <v>709</v>
      </c>
      <c r="C721" s="1">
        <v>0.55123252344388007</v>
      </c>
      <c r="D721" s="1">
        <f t="shared" si="89"/>
        <v>122.23063367438382</v>
      </c>
      <c r="E721" s="18">
        <f t="shared" si="88"/>
        <v>-42.230633674383824</v>
      </c>
      <c r="F721" s="1">
        <f t="shared" si="94"/>
        <v>80</v>
      </c>
      <c r="G721" s="9">
        <f t="shared" si="90"/>
        <v>0</v>
      </c>
      <c r="H721" s="9">
        <f t="shared" si="91"/>
        <v>80</v>
      </c>
      <c r="I721" s="9">
        <f t="shared" si="92"/>
        <v>0</v>
      </c>
      <c r="J721" s="9">
        <f t="shared" si="93"/>
        <v>0</v>
      </c>
      <c r="K721" s="1">
        <f t="shared" si="95"/>
        <v>80</v>
      </c>
      <c r="L721" s="1"/>
      <c r="M721" s="3"/>
      <c r="N721" s="3"/>
      <c r="O721" s="3"/>
      <c r="P721" s="3"/>
      <c r="Q721" s="3"/>
      <c r="R721" s="1"/>
    </row>
    <row r="722" spans="2:18" x14ac:dyDescent="0.2">
      <c r="B722">
        <v>710</v>
      </c>
      <c r="C722" s="1">
        <v>0.55185782494143198</v>
      </c>
      <c r="D722" s="1">
        <f t="shared" si="89"/>
        <v>122.27650087706495</v>
      </c>
      <c r="E722" s="18">
        <f t="shared" si="88"/>
        <v>-42.276500877064947</v>
      </c>
      <c r="F722" s="1">
        <f t="shared" si="94"/>
        <v>80</v>
      </c>
      <c r="G722" s="9">
        <f t="shared" si="90"/>
        <v>0</v>
      </c>
      <c r="H722" s="9">
        <f t="shared" si="91"/>
        <v>80</v>
      </c>
      <c r="I722" s="9">
        <f t="shared" si="92"/>
        <v>0</v>
      </c>
      <c r="J722" s="9">
        <f t="shared" si="93"/>
        <v>0</v>
      </c>
      <c r="K722" s="1">
        <f t="shared" si="95"/>
        <v>80</v>
      </c>
      <c r="L722" s="1"/>
      <c r="M722" s="3"/>
      <c r="N722" s="3"/>
      <c r="O722" s="3"/>
      <c r="P722" s="3"/>
      <c r="Q722" s="3"/>
      <c r="R722" s="1"/>
    </row>
    <row r="723" spans="2:18" x14ac:dyDescent="0.2">
      <c r="B723">
        <v>711</v>
      </c>
      <c r="C723" s="1">
        <v>0.55497031596674362</v>
      </c>
      <c r="D723" s="1">
        <f t="shared" si="89"/>
        <v>122.50506493866679</v>
      </c>
      <c r="E723" s="18">
        <f t="shared" si="88"/>
        <v>-42.505064938666791</v>
      </c>
      <c r="F723" s="1">
        <f t="shared" si="94"/>
        <v>80</v>
      </c>
      <c r="G723" s="9">
        <f t="shared" si="90"/>
        <v>0</v>
      </c>
      <c r="H723" s="9">
        <f t="shared" si="91"/>
        <v>80</v>
      </c>
      <c r="I723" s="9">
        <f t="shared" si="92"/>
        <v>0</v>
      </c>
      <c r="J723" s="9">
        <f t="shared" si="93"/>
        <v>0</v>
      </c>
      <c r="K723" s="1">
        <f t="shared" si="95"/>
        <v>80</v>
      </c>
      <c r="L723" s="1"/>
      <c r="M723" s="3"/>
      <c r="N723" s="3"/>
      <c r="O723" s="3"/>
      <c r="P723" s="3"/>
      <c r="Q723" s="3"/>
      <c r="R723" s="1"/>
    </row>
    <row r="724" spans="2:18" x14ac:dyDescent="0.2">
      <c r="B724">
        <v>712</v>
      </c>
      <c r="C724" s="1">
        <v>0.55711034782786673</v>
      </c>
      <c r="D724" s="1">
        <f t="shared" si="89"/>
        <v>122.6624648145367</v>
      </c>
      <c r="E724" s="18">
        <f t="shared" si="88"/>
        <v>-42.662464814536705</v>
      </c>
      <c r="F724" s="1">
        <f t="shared" si="94"/>
        <v>80</v>
      </c>
      <c r="G724" s="9">
        <f t="shared" si="90"/>
        <v>0</v>
      </c>
      <c r="H724" s="9">
        <f t="shared" si="91"/>
        <v>80</v>
      </c>
      <c r="I724" s="9">
        <f t="shared" si="92"/>
        <v>0</v>
      </c>
      <c r="J724" s="9">
        <f t="shared" si="93"/>
        <v>0</v>
      </c>
      <c r="K724" s="1">
        <f t="shared" si="95"/>
        <v>80</v>
      </c>
      <c r="L724" s="1"/>
      <c r="M724" s="3"/>
      <c r="N724" s="3"/>
      <c r="O724" s="3"/>
      <c r="P724" s="3"/>
      <c r="Q724" s="3"/>
      <c r="R724" s="1"/>
    </row>
    <row r="725" spans="2:18" x14ac:dyDescent="0.2">
      <c r="B725">
        <v>713</v>
      </c>
      <c r="C725" s="1">
        <v>0.56223993682772933</v>
      </c>
      <c r="D725" s="1">
        <f t="shared" si="89"/>
        <v>123.04057119328853</v>
      </c>
      <c r="E725" s="18">
        <f t="shared" si="88"/>
        <v>-43.040571193288528</v>
      </c>
      <c r="F725" s="1">
        <f t="shared" si="94"/>
        <v>80</v>
      </c>
      <c r="G725" s="9">
        <f t="shared" si="90"/>
        <v>0</v>
      </c>
      <c r="H725" s="9">
        <f t="shared" si="91"/>
        <v>80</v>
      </c>
      <c r="I725" s="9">
        <f t="shared" si="92"/>
        <v>0</v>
      </c>
      <c r="J725" s="9">
        <f t="shared" si="93"/>
        <v>0</v>
      </c>
      <c r="K725" s="1">
        <f t="shared" si="95"/>
        <v>80</v>
      </c>
      <c r="L725" s="1"/>
      <c r="M725" s="3"/>
      <c r="N725" s="3"/>
      <c r="O725" s="3"/>
      <c r="P725" s="3"/>
      <c r="Q725" s="3"/>
      <c r="R725" s="1"/>
    </row>
    <row r="726" spans="2:18" x14ac:dyDescent="0.2">
      <c r="B726">
        <v>714</v>
      </c>
      <c r="C726" s="1">
        <v>0.56711070113347806</v>
      </c>
      <c r="D726" s="1">
        <f t="shared" si="89"/>
        <v>123.40067810915949</v>
      </c>
      <c r="E726" s="18">
        <f t="shared" si="88"/>
        <v>-43.400678109159486</v>
      </c>
      <c r="F726" s="1">
        <f t="shared" si="94"/>
        <v>80</v>
      </c>
      <c r="G726" s="9">
        <f t="shared" si="90"/>
        <v>0</v>
      </c>
      <c r="H726" s="9">
        <f t="shared" si="91"/>
        <v>80</v>
      </c>
      <c r="I726" s="9">
        <f t="shared" si="92"/>
        <v>0</v>
      </c>
      <c r="J726" s="9">
        <f t="shared" si="93"/>
        <v>0</v>
      </c>
      <c r="K726" s="1">
        <f t="shared" si="95"/>
        <v>80</v>
      </c>
      <c r="L726" s="1"/>
      <c r="M726" s="3"/>
      <c r="N726" s="3"/>
      <c r="O726" s="3"/>
      <c r="P726" s="3"/>
      <c r="Q726" s="3"/>
      <c r="R726" s="1"/>
    </row>
    <row r="727" spans="2:18" x14ac:dyDescent="0.2">
      <c r="B727">
        <v>715</v>
      </c>
      <c r="C727" s="1">
        <v>0.57070345323188332</v>
      </c>
      <c r="D727" s="1">
        <f t="shared" si="89"/>
        <v>123.66697385355133</v>
      </c>
      <c r="E727" s="18">
        <f t="shared" si="88"/>
        <v>-43.666973853551326</v>
      </c>
      <c r="F727" s="1">
        <f t="shared" si="94"/>
        <v>80</v>
      </c>
      <c r="G727" s="9">
        <f t="shared" si="90"/>
        <v>0</v>
      </c>
      <c r="H727" s="9">
        <f t="shared" si="91"/>
        <v>80</v>
      </c>
      <c r="I727" s="9">
        <f t="shared" si="92"/>
        <v>0</v>
      </c>
      <c r="J727" s="9">
        <f t="shared" si="93"/>
        <v>0</v>
      </c>
      <c r="K727" s="1">
        <f t="shared" si="95"/>
        <v>80</v>
      </c>
      <c r="L727" s="1"/>
      <c r="M727" s="3"/>
      <c r="N727" s="3"/>
      <c r="O727" s="3"/>
      <c r="P727" s="3"/>
      <c r="Q727" s="3"/>
      <c r="R727" s="1"/>
    </row>
    <row r="728" spans="2:18" x14ac:dyDescent="0.2">
      <c r="B728">
        <v>716</v>
      </c>
      <c r="C728" s="1">
        <v>0.57598840974919996</v>
      </c>
      <c r="D728" s="1">
        <f t="shared" si="89"/>
        <v>124.05974099929526</v>
      </c>
      <c r="E728" s="18">
        <f t="shared" si="88"/>
        <v>-44.059740999295258</v>
      </c>
      <c r="F728" s="1">
        <f t="shared" si="94"/>
        <v>80</v>
      </c>
      <c r="G728" s="9">
        <f t="shared" si="90"/>
        <v>0</v>
      </c>
      <c r="H728" s="9">
        <f t="shared" si="91"/>
        <v>80</v>
      </c>
      <c r="I728" s="9">
        <f t="shared" si="92"/>
        <v>0</v>
      </c>
      <c r="J728" s="9">
        <f t="shared" si="93"/>
        <v>0</v>
      </c>
      <c r="K728" s="1">
        <f t="shared" si="95"/>
        <v>80</v>
      </c>
      <c r="L728" s="1"/>
      <c r="M728" s="3"/>
      <c r="N728" s="3"/>
      <c r="O728" s="3"/>
      <c r="P728" s="3"/>
      <c r="Q728" s="3"/>
      <c r="R728" s="1"/>
    </row>
    <row r="729" spans="2:18" x14ac:dyDescent="0.2">
      <c r="B729">
        <v>717</v>
      </c>
      <c r="C729" s="1">
        <v>0.583111964426276</v>
      </c>
      <c r="D729" s="1">
        <f t="shared" si="89"/>
        <v>124.59112359918556</v>
      </c>
      <c r="E729" s="18">
        <f t="shared" si="88"/>
        <v>-44.591123599185565</v>
      </c>
      <c r="F729" s="1">
        <f t="shared" si="94"/>
        <v>80</v>
      </c>
      <c r="G729" s="9">
        <f t="shared" si="90"/>
        <v>0</v>
      </c>
      <c r="H729" s="9">
        <f t="shared" si="91"/>
        <v>80</v>
      </c>
      <c r="I729" s="9">
        <f t="shared" si="92"/>
        <v>0</v>
      </c>
      <c r="J729" s="9">
        <f t="shared" si="93"/>
        <v>0</v>
      </c>
      <c r="K729" s="1">
        <f t="shared" si="95"/>
        <v>80</v>
      </c>
      <c r="L729" s="1"/>
      <c r="M729" s="3"/>
      <c r="N729" s="3"/>
      <c r="O729" s="3"/>
      <c r="P729" s="3"/>
      <c r="Q729" s="3"/>
      <c r="R729" s="1"/>
    </row>
    <row r="730" spans="2:18" x14ac:dyDescent="0.2">
      <c r="B730">
        <v>718</v>
      </c>
      <c r="C730" s="1">
        <v>0.58561120507549425</v>
      </c>
      <c r="D730" s="1">
        <f t="shared" si="89"/>
        <v>124.77809366948844</v>
      </c>
      <c r="E730" s="18">
        <f t="shared" si="88"/>
        <v>-44.778093669488442</v>
      </c>
      <c r="F730" s="1">
        <f t="shared" si="94"/>
        <v>80</v>
      </c>
      <c r="G730" s="9">
        <f t="shared" si="90"/>
        <v>0</v>
      </c>
      <c r="H730" s="9">
        <f t="shared" si="91"/>
        <v>80</v>
      </c>
      <c r="I730" s="9">
        <f t="shared" si="92"/>
        <v>0</v>
      </c>
      <c r="J730" s="9">
        <f t="shared" si="93"/>
        <v>0</v>
      </c>
      <c r="K730" s="1">
        <f t="shared" si="95"/>
        <v>80</v>
      </c>
      <c r="L730" s="1"/>
      <c r="M730" s="3"/>
      <c r="N730" s="3"/>
      <c r="O730" s="3"/>
      <c r="P730" s="3"/>
      <c r="Q730" s="3"/>
      <c r="R730" s="1"/>
    </row>
    <row r="731" spans="2:18" x14ac:dyDescent="0.2">
      <c r="B731">
        <v>719</v>
      </c>
      <c r="C731" s="1">
        <v>0.58639074467522112</v>
      </c>
      <c r="D731" s="1">
        <f t="shared" si="89"/>
        <v>124.8364689993049</v>
      </c>
      <c r="E731" s="18">
        <f t="shared" si="88"/>
        <v>-44.836468999304898</v>
      </c>
      <c r="F731" s="1">
        <f t="shared" si="94"/>
        <v>80</v>
      </c>
      <c r="G731" s="9">
        <f t="shared" si="90"/>
        <v>0</v>
      </c>
      <c r="H731" s="9">
        <f t="shared" si="91"/>
        <v>80</v>
      </c>
      <c r="I731" s="9">
        <f t="shared" si="92"/>
        <v>0</v>
      </c>
      <c r="J731" s="9">
        <f t="shared" si="93"/>
        <v>0</v>
      </c>
      <c r="K731" s="1">
        <f t="shared" si="95"/>
        <v>80</v>
      </c>
      <c r="L731" s="1"/>
      <c r="M731" s="3"/>
      <c r="N731" s="3"/>
      <c r="O731" s="3"/>
      <c r="P731" s="3"/>
      <c r="Q731" s="3"/>
      <c r="R731" s="1"/>
    </row>
    <row r="732" spans="2:18" x14ac:dyDescent="0.2">
      <c r="B732">
        <v>720</v>
      </c>
      <c r="C732" s="1">
        <v>0.59088457131687711</v>
      </c>
      <c r="D732" s="1">
        <f t="shared" si="89"/>
        <v>125.17351925888272</v>
      </c>
      <c r="E732" s="18">
        <f t="shared" si="88"/>
        <v>-45.17351925888272</v>
      </c>
      <c r="F732" s="1">
        <f t="shared" si="94"/>
        <v>80</v>
      </c>
      <c r="G732" s="9">
        <f t="shared" si="90"/>
        <v>0</v>
      </c>
      <c r="H732" s="9">
        <f t="shared" si="91"/>
        <v>80</v>
      </c>
      <c r="I732" s="9">
        <f t="shared" si="92"/>
        <v>0</v>
      </c>
      <c r="J732" s="9">
        <f t="shared" si="93"/>
        <v>0</v>
      </c>
      <c r="K732" s="1">
        <f t="shared" si="95"/>
        <v>80</v>
      </c>
      <c r="L732" s="1"/>
      <c r="M732" s="3"/>
      <c r="N732" s="3"/>
      <c r="O732" s="3"/>
      <c r="P732" s="3"/>
      <c r="Q732" s="3"/>
      <c r="R732" s="1"/>
    </row>
    <row r="733" spans="2:18" x14ac:dyDescent="0.2">
      <c r="B733">
        <v>721</v>
      </c>
      <c r="C733" s="1">
        <v>0.59207061720496235</v>
      </c>
      <c r="D733" s="1">
        <f t="shared" si="89"/>
        <v>125.2626278838862</v>
      </c>
      <c r="E733" s="18">
        <f t="shared" si="88"/>
        <v>-45.262627883886196</v>
      </c>
      <c r="F733" s="1">
        <f t="shared" si="94"/>
        <v>80</v>
      </c>
      <c r="G733" s="9">
        <f t="shared" si="90"/>
        <v>0</v>
      </c>
      <c r="H733" s="9">
        <f t="shared" si="91"/>
        <v>80</v>
      </c>
      <c r="I733" s="9">
        <f t="shared" si="92"/>
        <v>0</v>
      </c>
      <c r="J733" s="9">
        <f t="shared" si="93"/>
        <v>0</v>
      </c>
      <c r="K733" s="1">
        <f t="shared" si="95"/>
        <v>80</v>
      </c>
      <c r="L733" s="1"/>
      <c r="M733" s="3"/>
      <c r="N733" s="3"/>
      <c r="O733" s="3"/>
      <c r="P733" s="3"/>
      <c r="Q733" s="3"/>
      <c r="R733" s="1"/>
    </row>
    <row r="734" spans="2:18" x14ac:dyDescent="0.2">
      <c r="B734">
        <v>722</v>
      </c>
      <c r="C734" s="1">
        <v>0.60745614034892592</v>
      </c>
      <c r="D734" s="1">
        <f t="shared" si="89"/>
        <v>126.42432024385721</v>
      </c>
      <c r="E734" s="18">
        <f t="shared" si="88"/>
        <v>-46.42432024385721</v>
      </c>
      <c r="F734" s="1">
        <f t="shared" si="94"/>
        <v>80</v>
      </c>
      <c r="G734" s="9">
        <f t="shared" si="90"/>
        <v>0</v>
      </c>
      <c r="H734" s="9">
        <f t="shared" si="91"/>
        <v>80</v>
      </c>
      <c r="I734" s="9">
        <f t="shared" si="92"/>
        <v>0</v>
      </c>
      <c r="J734" s="9">
        <f t="shared" si="93"/>
        <v>0</v>
      </c>
      <c r="K734" s="1">
        <f t="shared" si="95"/>
        <v>80</v>
      </c>
      <c r="L734" s="1"/>
      <c r="M734" s="3"/>
      <c r="N734" s="3"/>
      <c r="O734" s="3"/>
      <c r="P734" s="3"/>
      <c r="Q734" s="3"/>
      <c r="R734" s="1"/>
    </row>
    <row r="735" spans="2:18" x14ac:dyDescent="0.2">
      <c r="B735">
        <v>723</v>
      </c>
      <c r="C735" s="1">
        <v>0.60780344876021963</v>
      </c>
      <c r="D735" s="1">
        <f t="shared" si="89"/>
        <v>126.45066792688111</v>
      </c>
      <c r="E735" s="18">
        <f t="shared" si="88"/>
        <v>-46.45066792688111</v>
      </c>
      <c r="F735" s="1">
        <f t="shared" si="94"/>
        <v>80</v>
      </c>
      <c r="G735" s="9">
        <f t="shared" si="90"/>
        <v>0</v>
      </c>
      <c r="H735" s="9">
        <f t="shared" si="91"/>
        <v>80</v>
      </c>
      <c r="I735" s="9">
        <f t="shared" si="92"/>
        <v>0</v>
      </c>
      <c r="J735" s="9">
        <f t="shared" si="93"/>
        <v>0</v>
      </c>
      <c r="K735" s="1">
        <f t="shared" si="95"/>
        <v>80</v>
      </c>
      <c r="L735" s="1"/>
      <c r="M735" s="3"/>
      <c r="N735" s="3"/>
      <c r="O735" s="3"/>
      <c r="P735" s="3"/>
      <c r="Q735" s="3"/>
      <c r="R735" s="1"/>
    </row>
    <row r="736" spans="2:18" x14ac:dyDescent="0.2">
      <c r="B736">
        <v>724</v>
      </c>
      <c r="C736" s="1">
        <v>0.6116565720389544</v>
      </c>
      <c r="D736" s="1">
        <f t="shared" si="89"/>
        <v>126.74334411907925</v>
      </c>
      <c r="E736" s="18">
        <f t="shared" si="88"/>
        <v>-46.743344119079254</v>
      </c>
      <c r="F736" s="1">
        <f t="shared" si="94"/>
        <v>80</v>
      </c>
      <c r="G736" s="9">
        <f t="shared" si="90"/>
        <v>0</v>
      </c>
      <c r="H736" s="9">
        <f t="shared" si="91"/>
        <v>80</v>
      </c>
      <c r="I736" s="9">
        <f t="shared" si="92"/>
        <v>0</v>
      </c>
      <c r="J736" s="9">
        <f t="shared" si="93"/>
        <v>0</v>
      </c>
      <c r="K736" s="1">
        <f t="shared" si="95"/>
        <v>80</v>
      </c>
      <c r="L736" s="1"/>
      <c r="M736" s="3"/>
      <c r="N736" s="3"/>
      <c r="O736" s="3"/>
      <c r="P736" s="3"/>
      <c r="Q736" s="3"/>
      <c r="R736" s="1"/>
    </row>
    <row r="737" spans="2:18" x14ac:dyDescent="0.2">
      <c r="B737">
        <v>725</v>
      </c>
      <c r="C737" s="1">
        <v>0.61203849900359386</v>
      </c>
      <c r="D737" s="1">
        <f t="shared" si="89"/>
        <v>126.77239146756642</v>
      </c>
      <c r="E737" s="18">
        <f t="shared" si="88"/>
        <v>-46.772391467566422</v>
      </c>
      <c r="F737" s="1">
        <f t="shared" si="94"/>
        <v>80</v>
      </c>
      <c r="G737" s="9">
        <f t="shared" si="90"/>
        <v>0</v>
      </c>
      <c r="H737" s="9">
        <f t="shared" si="91"/>
        <v>80</v>
      </c>
      <c r="I737" s="9">
        <f t="shared" si="92"/>
        <v>0</v>
      </c>
      <c r="J737" s="9">
        <f t="shared" si="93"/>
        <v>0</v>
      </c>
      <c r="K737" s="1">
        <f t="shared" si="95"/>
        <v>80</v>
      </c>
      <c r="L737" s="1"/>
      <c r="M737" s="3"/>
      <c r="N737" s="3"/>
      <c r="O737" s="3"/>
      <c r="P737" s="3"/>
      <c r="Q737" s="3"/>
      <c r="R737" s="1"/>
    </row>
    <row r="738" spans="2:18" x14ac:dyDescent="0.2">
      <c r="B738">
        <v>726</v>
      </c>
      <c r="C738" s="1">
        <v>0.6133513901835258</v>
      </c>
      <c r="D738" s="1">
        <f t="shared" si="89"/>
        <v>126.87229382344698</v>
      </c>
      <c r="E738" s="18">
        <f t="shared" si="88"/>
        <v>-46.872293823446981</v>
      </c>
      <c r="F738" s="1">
        <f t="shared" si="94"/>
        <v>80</v>
      </c>
      <c r="G738" s="9">
        <f t="shared" si="90"/>
        <v>0</v>
      </c>
      <c r="H738" s="9">
        <f t="shared" si="91"/>
        <v>80</v>
      </c>
      <c r="I738" s="9">
        <f t="shared" si="92"/>
        <v>0</v>
      </c>
      <c r="J738" s="9">
        <f t="shared" si="93"/>
        <v>0</v>
      </c>
      <c r="K738" s="1">
        <f t="shared" si="95"/>
        <v>80</v>
      </c>
      <c r="L738" s="1"/>
      <c r="M738" s="3"/>
      <c r="N738" s="3"/>
      <c r="O738" s="3"/>
      <c r="P738" s="3"/>
      <c r="Q738" s="3"/>
      <c r="R738" s="1"/>
    </row>
    <row r="739" spans="2:18" x14ac:dyDescent="0.2">
      <c r="B739">
        <v>727</v>
      </c>
      <c r="C739" s="1">
        <v>0.61458481014983235</v>
      </c>
      <c r="D739" s="1">
        <f t="shared" si="89"/>
        <v>126.96622066675714</v>
      </c>
      <c r="E739" s="18">
        <f t="shared" si="88"/>
        <v>-46.966220666757138</v>
      </c>
      <c r="F739" s="1">
        <f t="shared" si="94"/>
        <v>80</v>
      </c>
      <c r="G739" s="9">
        <f t="shared" si="90"/>
        <v>0</v>
      </c>
      <c r="H739" s="9">
        <f t="shared" si="91"/>
        <v>80</v>
      </c>
      <c r="I739" s="9">
        <f t="shared" si="92"/>
        <v>0</v>
      </c>
      <c r="J739" s="9">
        <f t="shared" si="93"/>
        <v>0</v>
      </c>
      <c r="K739" s="1">
        <f t="shared" si="95"/>
        <v>80</v>
      </c>
      <c r="L739" s="1"/>
      <c r="M739" s="3"/>
      <c r="N739" s="3"/>
      <c r="O739" s="3"/>
      <c r="P739" s="3"/>
      <c r="Q739" s="3"/>
      <c r="R739" s="1"/>
    </row>
    <row r="740" spans="2:18" x14ac:dyDescent="0.2">
      <c r="B740">
        <v>728</v>
      </c>
      <c r="C740" s="1">
        <v>0.61725699833705749</v>
      </c>
      <c r="D740" s="1">
        <f t="shared" si="89"/>
        <v>127.16995052549657</v>
      </c>
      <c r="E740" s="18">
        <f t="shared" si="88"/>
        <v>-47.169950525496574</v>
      </c>
      <c r="F740" s="1">
        <f t="shared" si="94"/>
        <v>80</v>
      </c>
      <c r="G740" s="9">
        <f t="shared" si="90"/>
        <v>0</v>
      </c>
      <c r="H740" s="9">
        <f t="shared" si="91"/>
        <v>80</v>
      </c>
      <c r="I740" s="9">
        <f t="shared" si="92"/>
        <v>0</v>
      </c>
      <c r="J740" s="9">
        <f t="shared" si="93"/>
        <v>0</v>
      </c>
      <c r="K740" s="1">
        <f t="shared" si="95"/>
        <v>80</v>
      </c>
      <c r="L740" s="1"/>
      <c r="M740" s="3"/>
      <c r="N740" s="3"/>
      <c r="O740" s="3"/>
      <c r="P740" s="3"/>
      <c r="Q740" s="3"/>
      <c r="R740" s="1"/>
    </row>
    <row r="741" spans="2:18" x14ac:dyDescent="0.2">
      <c r="B741">
        <v>729</v>
      </c>
      <c r="C741" s="1">
        <v>0.62110468652986428</v>
      </c>
      <c r="D741" s="1">
        <f t="shared" si="89"/>
        <v>127.46387586513998</v>
      </c>
      <c r="E741" s="18">
        <f t="shared" si="88"/>
        <v>-47.463875865139983</v>
      </c>
      <c r="F741" s="1">
        <f t="shared" si="94"/>
        <v>80</v>
      </c>
      <c r="G741" s="9">
        <f t="shared" si="90"/>
        <v>0</v>
      </c>
      <c r="H741" s="9">
        <f t="shared" si="91"/>
        <v>80</v>
      </c>
      <c r="I741" s="9">
        <f t="shared" si="92"/>
        <v>0</v>
      </c>
      <c r="J741" s="9">
        <f t="shared" si="93"/>
        <v>0</v>
      </c>
      <c r="K741" s="1">
        <f t="shared" si="95"/>
        <v>80</v>
      </c>
      <c r="L741" s="1"/>
      <c r="M741" s="3"/>
      <c r="N741" s="3"/>
      <c r="O741" s="3"/>
      <c r="P741" s="3"/>
      <c r="Q741" s="3"/>
      <c r="R741" s="1"/>
    </row>
    <row r="742" spans="2:18" x14ac:dyDescent="0.2">
      <c r="B742">
        <v>730</v>
      </c>
      <c r="C742" s="1">
        <v>0.62458474981428591</v>
      </c>
      <c r="D742" s="1">
        <f t="shared" si="89"/>
        <v>127.73030333637136</v>
      </c>
      <c r="E742" s="18">
        <f t="shared" si="88"/>
        <v>-47.730303336371364</v>
      </c>
      <c r="F742" s="1">
        <f t="shared" si="94"/>
        <v>80</v>
      </c>
      <c r="G742" s="9">
        <f t="shared" si="90"/>
        <v>0</v>
      </c>
      <c r="H742" s="9">
        <f t="shared" si="91"/>
        <v>80</v>
      </c>
      <c r="I742" s="9">
        <f t="shared" si="92"/>
        <v>0</v>
      </c>
      <c r="J742" s="9">
        <f t="shared" si="93"/>
        <v>0</v>
      </c>
      <c r="K742" s="1">
        <f t="shared" si="95"/>
        <v>80</v>
      </c>
      <c r="L742" s="1"/>
      <c r="M742" s="3"/>
      <c r="N742" s="3"/>
      <c r="O742" s="3"/>
      <c r="P742" s="3"/>
      <c r="Q742" s="3"/>
      <c r="R742" s="1"/>
    </row>
    <row r="743" spans="2:18" x14ac:dyDescent="0.2">
      <c r="B743">
        <v>731</v>
      </c>
      <c r="C743" s="1">
        <v>0.63084117197701006</v>
      </c>
      <c r="D743" s="1">
        <f t="shared" si="89"/>
        <v>128.21068523423926</v>
      </c>
      <c r="E743" s="18">
        <f t="shared" si="88"/>
        <v>-48.210685234239264</v>
      </c>
      <c r="F743" s="1">
        <f t="shared" si="94"/>
        <v>80</v>
      </c>
      <c r="G743" s="9">
        <f t="shared" si="90"/>
        <v>0</v>
      </c>
      <c r="H743" s="9">
        <f t="shared" si="91"/>
        <v>80</v>
      </c>
      <c r="I743" s="9">
        <f t="shared" si="92"/>
        <v>0</v>
      </c>
      <c r="J743" s="9">
        <f t="shared" si="93"/>
        <v>0</v>
      </c>
      <c r="K743" s="1">
        <f t="shared" si="95"/>
        <v>80</v>
      </c>
      <c r="L743" s="1"/>
      <c r="M743" s="3"/>
      <c r="N743" s="3"/>
      <c r="O743" s="3"/>
      <c r="P743" s="3"/>
      <c r="Q743" s="3"/>
      <c r="R743" s="1"/>
    </row>
    <row r="744" spans="2:18" x14ac:dyDescent="0.2">
      <c r="B744">
        <v>732</v>
      </c>
      <c r="C744" s="1">
        <v>0.63465596401417956</v>
      </c>
      <c r="D744" s="1">
        <f t="shared" si="89"/>
        <v>128.50447959595925</v>
      </c>
      <c r="E744" s="18">
        <f t="shared" si="88"/>
        <v>-48.504479595959253</v>
      </c>
      <c r="F744" s="1">
        <f t="shared" si="94"/>
        <v>80</v>
      </c>
      <c r="G744" s="9">
        <f t="shared" si="90"/>
        <v>0</v>
      </c>
      <c r="H744" s="9">
        <f t="shared" si="91"/>
        <v>80</v>
      </c>
      <c r="I744" s="9">
        <f t="shared" si="92"/>
        <v>0</v>
      </c>
      <c r="J744" s="9">
        <f t="shared" si="93"/>
        <v>0</v>
      </c>
      <c r="K744" s="1">
        <f t="shared" si="95"/>
        <v>80</v>
      </c>
      <c r="L744" s="1"/>
      <c r="M744" s="3"/>
      <c r="N744" s="3"/>
      <c r="O744" s="3"/>
      <c r="P744" s="3"/>
      <c r="Q744" s="3"/>
      <c r="R744" s="1"/>
    </row>
    <row r="745" spans="2:18" x14ac:dyDescent="0.2">
      <c r="B745">
        <v>733</v>
      </c>
      <c r="C745" s="1">
        <v>0.63986549950500082</v>
      </c>
      <c r="D745" s="1">
        <f t="shared" si="89"/>
        <v>128.90677719180937</v>
      </c>
      <c r="E745" s="18">
        <f t="shared" si="88"/>
        <v>-48.906777191809368</v>
      </c>
      <c r="F745" s="1">
        <f t="shared" si="94"/>
        <v>80</v>
      </c>
      <c r="G745" s="9">
        <f t="shared" si="90"/>
        <v>0</v>
      </c>
      <c r="H745" s="9">
        <f t="shared" si="91"/>
        <v>80</v>
      </c>
      <c r="I745" s="9">
        <f t="shared" si="92"/>
        <v>0</v>
      </c>
      <c r="J745" s="9">
        <f t="shared" si="93"/>
        <v>0</v>
      </c>
      <c r="K745" s="1">
        <f t="shared" si="95"/>
        <v>80</v>
      </c>
      <c r="L745" s="1"/>
      <c r="M745" s="3"/>
      <c r="N745" s="3"/>
      <c r="O745" s="3"/>
      <c r="P745" s="3"/>
      <c r="Q745" s="3"/>
      <c r="R745" s="1"/>
    </row>
    <row r="746" spans="2:18" x14ac:dyDescent="0.2">
      <c r="B746">
        <v>734</v>
      </c>
      <c r="C746" s="1">
        <v>0.64034746552977173</v>
      </c>
      <c r="D746" s="1">
        <f t="shared" si="89"/>
        <v>128.94405979441538</v>
      </c>
      <c r="E746" s="18">
        <f t="shared" si="88"/>
        <v>-48.944059794415381</v>
      </c>
      <c r="F746" s="1">
        <f t="shared" si="94"/>
        <v>80</v>
      </c>
      <c r="G746" s="9">
        <f t="shared" si="90"/>
        <v>0</v>
      </c>
      <c r="H746" s="9">
        <f t="shared" si="91"/>
        <v>80</v>
      </c>
      <c r="I746" s="9">
        <f t="shared" si="92"/>
        <v>0</v>
      </c>
      <c r="J746" s="9">
        <f t="shared" si="93"/>
        <v>0</v>
      </c>
      <c r="K746" s="1">
        <f t="shared" si="95"/>
        <v>80</v>
      </c>
      <c r="L746" s="1"/>
      <c r="M746" s="3"/>
      <c r="N746" s="3"/>
      <c r="O746" s="3"/>
      <c r="P746" s="3"/>
      <c r="Q746" s="3"/>
      <c r="R746" s="1"/>
    </row>
    <row r="747" spans="2:18" x14ac:dyDescent="0.2">
      <c r="B747">
        <v>735</v>
      </c>
      <c r="C747" s="1">
        <v>0.64147791243968155</v>
      </c>
      <c r="D747" s="1">
        <f t="shared" si="89"/>
        <v>129.0315481096975</v>
      </c>
      <c r="E747" s="18">
        <f t="shared" si="88"/>
        <v>-49.031548109697496</v>
      </c>
      <c r="F747" s="1">
        <f t="shared" si="94"/>
        <v>80</v>
      </c>
      <c r="G747" s="9">
        <f t="shared" si="90"/>
        <v>0</v>
      </c>
      <c r="H747" s="9">
        <f t="shared" si="91"/>
        <v>80</v>
      </c>
      <c r="I747" s="9">
        <f t="shared" si="92"/>
        <v>0</v>
      </c>
      <c r="J747" s="9">
        <f t="shared" si="93"/>
        <v>0</v>
      </c>
      <c r="K747" s="1">
        <f t="shared" si="95"/>
        <v>80</v>
      </c>
      <c r="L747" s="1"/>
      <c r="M747" s="3"/>
      <c r="N747" s="3"/>
      <c r="O747" s="3"/>
      <c r="P747" s="3"/>
      <c r="Q747" s="3"/>
      <c r="R747" s="1"/>
    </row>
    <row r="748" spans="2:18" x14ac:dyDescent="0.2">
      <c r="B748">
        <v>736</v>
      </c>
      <c r="C748" s="1">
        <v>0.64242926967003389</v>
      </c>
      <c r="D748" s="1">
        <f t="shared" si="89"/>
        <v>129.10522219255114</v>
      </c>
      <c r="E748" s="18">
        <f t="shared" si="88"/>
        <v>-49.105222192551139</v>
      </c>
      <c r="F748" s="1">
        <f t="shared" si="94"/>
        <v>80</v>
      </c>
      <c r="G748" s="9">
        <f t="shared" si="90"/>
        <v>0</v>
      </c>
      <c r="H748" s="9">
        <f t="shared" si="91"/>
        <v>80</v>
      </c>
      <c r="I748" s="9">
        <f t="shared" si="92"/>
        <v>0</v>
      </c>
      <c r="J748" s="9">
        <f t="shared" si="93"/>
        <v>0</v>
      </c>
      <c r="K748" s="1">
        <f t="shared" si="95"/>
        <v>80</v>
      </c>
      <c r="L748" s="1"/>
      <c r="M748" s="3"/>
      <c r="N748" s="3"/>
      <c r="O748" s="3"/>
      <c r="P748" s="3"/>
      <c r="Q748" s="3"/>
      <c r="R748" s="1"/>
    </row>
    <row r="749" spans="2:18" x14ac:dyDescent="0.2">
      <c r="B749">
        <v>737</v>
      </c>
      <c r="C749" s="1">
        <v>0.64600561888226837</v>
      </c>
      <c r="D749" s="1">
        <f t="shared" si="89"/>
        <v>129.38255485347958</v>
      </c>
      <c r="E749" s="18">
        <f t="shared" si="88"/>
        <v>-49.382554853479576</v>
      </c>
      <c r="F749" s="1">
        <f t="shared" si="94"/>
        <v>80</v>
      </c>
      <c r="G749" s="9">
        <f t="shared" si="90"/>
        <v>0</v>
      </c>
      <c r="H749" s="9">
        <f t="shared" si="91"/>
        <v>80</v>
      </c>
      <c r="I749" s="9">
        <f t="shared" si="92"/>
        <v>0</v>
      </c>
      <c r="J749" s="9">
        <f t="shared" si="93"/>
        <v>0</v>
      </c>
      <c r="K749" s="1">
        <f t="shared" si="95"/>
        <v>80</v>
      </c>
      <c r="L749" s="1"/>
      <c r="M749" s="3"/>
      <c r="N749" s="3"/>
      <c r="O749" s="3"/>
      <c r="P749" s="3"/>
      <c r="Q749" s="3"/>
      <c r="R749" s="1"/>
    </row>
    <row r="750" spans="2:18" x14ac:dyDescent="0.2">
      <c r="B750">
        <v>738</v>
      </c>
      <c r="C750" s="1">
        <v>0.64700119634596942</v>
      </c>
      <c r="D750" s="1">
        <f t="shared" si="89"/>
        <v>129.45986415488514</v>
      </c>
      <c r="E750" s="18">
        <f t="shared" si="88"/>
        <v>-49.459864154885139</v>
      </c>
      <c r="F750" s="1">
        <f t="shared" si="94"/>
        <v>80</v>
      </c>
      <c r="G750" s="9">
        <f t="shared" si="90"/>
        <v>0</v>
      </c>
      <c r="H750" s="9">
        <f t="shared" si="91"/>
        <v>80</v>
      </c>
      <c r="I750" s="9">
        <f t="shared" si="92"/>
        <v>0</v>
      </c>
      <c r="J750" s="9">
        <f t="shared" si="93"/>
        <v>0</v>
      </c>
      <c r="K750" s="1">
        <f t="shared" si="95"/>
        <v>80</v>
      </c>
      <c r="L750" s="1"/>
      <c r="M750" s="3"/>
      <c r="N750" s="3"/>
      <c r="O750" s="3"/>
      <c r="P750" s="3"/>
      <c r="Q750" s="3"/>
      <c r="R750" s="1"/>
    </row>
    <row r="751" spans="2:18" x14ac:dyDescent="0.2">
      <c r="B751">
        <v>739</v>
      </c>
      <c r="C751" s="1">
        <v>0.64960262000415747</v>
      </c>
      <c r="D751" s="1">
        <f t="shared" si="89"/>
        <v>129.66208990832561</v>
      </c>
      <c r="E751" s="18">
        <f t="shared" si="88"/>
        <v>-49.662089908325612</v>
      </c>
      <c r="F751" s="1">
        <f t="shared" si="94"/>
        <v>80</v>
      </c>
      <c r="G751" s="9">
        <f t="shared" si="90"/>
        <v>0</v>
      </c>
      <c r="H751" s="9">
        <f t="shared" si="91"/>
        <v>80</v>
      </c>
      <c r="I751" s="9">
        <f t="shared" si="92"/>
        <v>0</v>
      </c>
      <c r="J751" s="9">
        <f t="shared" si="93"/>
        <v>0</v>
      </c>
      <c r="K751" s="1">
        <f t="shared" si="95"/>
        <v>80</v>
      </c>
      <c r="L751" s="1"/>
      <c r="M751" s="3"/>
      <c r="N751" s="3"/>
      <c r="O751" s="3"/>
      <c r="P751" s="3"/>
      <c r="Q751" s="3"/>
      <c r="R751" s="1"/>
    </row>
    <row r="752" spans="2:18" x14ac:dyDescent="0.2">
      <c r="B752">
        <v>740</v>
      </c>
      <c r="C752" s="1">
        <v>0.65813101639528793</v>
      </c>
      <c r="D752" s="1">
        <f t="shared" si="89"/>
        <v>130.32727616829968</v>
      </c>
      <c r="E752" s="18">
        <f t="shared" si="88"/>
        <v>-50.327276168299676</v>
      </c>
      <c r="F752" s="1">
        <f t="shared" si="94"/>
        <v>80</v>
      </c>
      <c r="G752" s="9">
        <f t="shared" si="90"/>
        <v>0</v>
      </c>
      <c r="H752" s="9">
        <f t="shared" si="91"/>
        <v>80</v>
      </c>
      <c r="I752" s="9">
        <f t="shared" si="92"/>
        <v>0</v>
      </c>
      <c r="J752" s="9">
        <f t="shared" si="93"/>
        <v>0</v>
      </c>
      <c r="K752" s="1">
        <f t="shared" si="95"/>
        <v>80</v>
      </c>
      <c r="L752" s="1"/>
      <c r="M752" s="3"/>
      <c r="N752" s="3"/>
      <c r="O752" s="3"/>
      <c r="P752" s="3"/>
      <c r="Q752" s="3"/>
      <c r="R752" s="1"/>
    </row>
    <row r="753" spans="2:18" x14ac:dyDescent="0.2">
      <c r="B753">
        <v>741</v>
      </c>
      <c r="C753" s="1">
        <v>0.65832332548164973</v>
      </c>
      <c r="D753" s="1">
        <f t="shared" si="89"/>
        <v>130.3423149075536</v>
      </c>
      <c r="E753" s="18">
        <f t="shared" si="88"/>
        <v>-50.3423149075536</v>
      </c>
      <c r="F753" s="1">
        <f t="shared" si="94"/>
        <v>80</v>
      </c>
      <c r="G753" s="9">
        <f t="shared" si="90"/>
        <v>0</v>
      </c>
      <c r="H753" s="9">
        <f t="shared" si="91"/>
        <v>80</v>
      </c>
      <c r="I753" s="9">
        <f t="shared" si="92"/>
        <v>0</v>
      </c>
      <c r="J753" s="9">
        <f t="shared" si="93"/>
        <v>0</v>
      </c>
      <c r="K753" s="1">
        <f t="shared" si="95"/>
        <v>80</v>
      </c>
      <c r="L753" s="1"/>
      <c r="M753" s="3"/>
      <c r="N753" s="3"/>
      <c r="O753" s="3"/>
      <c r="P753" s="3"/>
      <c r="Q753" s="3"/>
      <c r="R753" s="1"/>
    </row>
    <row r="754" spans="2:18" x14ac:dyDescent="0.2">
      <c r="B754">
        <v>742</v>
      </c>
      <c r="C754" s="1">
        <v>0.66514142067813631</v>
      </c>
      <c r="D754" s="1">
        <f t="shared" si="89"/>
        <v>130.87661882962092</v>
      </c>
      <c r="E754" s="18">
        <f t="shared" si="88"/>
        <v>-50.876618829620924</v>
      </c>
      <c r="F754" s="1">
        <f t="shared" si="94"/>
        <v>80</v>
      </c>
      <c r="G754" s="9">
        <f t="shared" si="90"/>
        <v>0</v>
      </c>
      <c r="H754" s="9">
        <f t="shared" si="91"/>
        <v>80</v>
      </c>
      <c r="I754" s="9">
        <f t="shared" si="92"/>
        <v>0</v>
      </c>
      <c r="J754" s="9">
        <f t="shared" si="93"/>
        <v>0</v>
      </c>
      <c r="K754" s="1">
        <f t="shared" si="95"/>
        <v>80</v>
      </c>
      <c r="L754" s="1"/>
      <c r="M754" s="3"/>
      <c r="N754" s="3"/>
      <c r="O754" s="3"/>
      <c r="P754" s="3"/>
      <c r="Q754" s="3"/>
      <c r="R754" s="1"/>
    </row>
    <row r="755" spans="2:18" x14ac:dyDescent="0.2">
      <c r="B755">
        <v>743</v>
      </c>
      <c r="C755" s="1">
        <v>0.66590910432920147</v>
      </c>
      <c r="D755" s="1">
        <f t="shared" si="89"/>
        <v>130.9369158196082</v>
      </c>
      <c r="E755" s="18">
        <f t="shared" si="88"/>
        <v>-50.936915819608203</v>
      </c>
      <c r="F755" s="1">
        <f t="shared" si="94"/>
        <v>80</v>
      </c>
      <c r="G755" s="9">
        <f t="shared" si="90"/>
        <v>0</v>
      </c>
      <c r="H755" s="9">
        <f t="shared" si="91"/>
        <v>80</v>
      </c>
      <c r="I755" s="9">
        <f t="shared" si="92"/>
        <v>0</v>
      </c>
      <c r="J755" s="9">
        <f t="shared" si="93"/>
        <v>0</v>
      </c>
      <c r="K755" s="1">
        <f t="shared" si="95"/>
        <v>80</v>
      </c>
      <c r="L755" s="1"/>
      <c r="M755" s="3"/>
      <c r="N755" s="3"/>
      <c r="O755" s="3"/>
      <c r="P755" s="3"/>
      <c r="Q755" s="3"/>
      <c r="R755" s="1"/>
    </row>
    <row r="756" spans="2:18" x14ac:dyDescent="0.2">
      <c r="B756">
        <v>744</v>
      </c>
      <c r="C756" s="1">
        <v>0.66816654540135245</v>
      </c>
      <c r="D756" s="1">
        <f t="shared" si="89"/>
        <v>131.11438540359399</v>
      </c>
      <c r="E756" s="18">
        <f t="shared" si="88"/>
        <v>-51.114385403593985</v>
      </c>
      <c r="F756" s="1">
        <f t="shared" si="94"/>
        <v>80</v>
      </c>
      <c r="G756" s="9">
        <f t="shared" si="90"/>
        <v>0</v>
      </c>
      <c r="H756" s="9">
        <f t="shared" si="91"/>
        <v>80</v>
      </c>
      <c r="I756" s="9">
        <f t="shared" si="92"/>
        <v>0</v>
      </c>
      <c r="J756" s="9">
        <f t="shared" si="93"/>
        <v>0</v>
      </c>
      <c r="K756" s="1">
        <f t="shared" si="95"/>
        <v>80</v>
      </c>
      <c r="L756" s="1"/>
      <c r="M756" s="3"/>
      <c r="N756" s="3"/>
      <c r="O756" s="3"/>
      <c r="P756" s="3"/>
      <c r="Q756" s="3"/>
      <c r="R756" s="1"/>
    </row>
    <row r="757" spans="2:18" x14ac:dyDescent="0.2">
      <c r="B757">
        <v>745</v>
      </c>
      <c r="C757" s="1">
        <v>0.66826613311170757</v>
      </c>
      <c r="D757" s="1">
        <f t="shared" si="89"/>
        <v>131.12222006652468</v>
      </c>
      <c r="E757" s="18">
        <f t="shared" si="88"/>
        <v>-51.122220066524676</v>
      </c>
      <c r="F757" s="1">
        <f t="shared" si="94"/>
        <v>80</v>
      </c>
      <c r="G757" s="9">
        <f t="shared" si="90"/>
        <v>0</v>
      </c>
      <c r="H757" s="9">
        <f t="shared" si="91"/>
        <v>80</v>
      </c>
      <c r="I757" s="9">
        <f t="shared" si="92"/>
        <v>0</v>
      </c>
      <c r="J757" s="9">
        <f t="shared" si="93"/>
        <v>0</v>
      </c>
      <c r="K757" s="1">
        <f t="shared" si="95"/>
        <v>80</v>
      </c>
      <c r="L757" s="1"/>
      <c r="M757" s="3"/>
      <c r="N757" s="3"/>
      <c r="O757" s="3"/>
      <c r="P757" s="3"/>
      <c r="Q757" s="3"/>
      <c r="R757" s="1"/>
    </row>
    <row r="758" spans="2:18" x14ac:dyDescent="0.2">
      <c r="B758">
        <v>746</v>
      </c>
      <c r="C758" s="1">
        <v>0.66858789815680675</v>
      </c>
      <c r="D758" s="1">
        <f t="shared" si="89"/>
        <v>131.14753683849366</v>
      </c>
      <c r="E758" s="18">
        <f t="shared" si="88"/>
        <v>-51.147536838493664</v>
      </c>
      <c r="F758" s="1">
        <f t="shared" si="94"/>
        <v>80</v>
      </c>
      <c r="G758" s="9">
        <f t="shared" si="90"/>
        <v>0</v>
      </c>
      <c r="H758" s="9">
        <f t="shared" si="91"/>
        <v>80</v>
      </c>
      <c r="I758" s="9">
        <f>(1-tax)*(F758-G758-H758)</f>
        <v>0</v>
      </c>
      <c r="J758" s="9">
        <f t="shared" si="93"/>
        <v>0</v>
      </c>
      <c r="K758" s="1">
        <f t="shared" si="95"/>
        <v>80</v>
      </c>
      <c r="L758" s="1"/>
      <c r="M758" s="3"/>
      <c r="N758" s="3"/>
      <c r="O758" s="3"/>
      <c r="P758" s="3"/>
      <c r="Q758" s="3"/>
      <c r="R758" s="1"/>
    </row>
    <row r="759" spans="2:18" x14ac:dyDescent="0.2">
      <c r="B759">
        <v>747</v>
      </c>
      <c r="C759" s="1">
        <v>0.66989870351999548</v>
      </c>
      <c r="D759" s="1">
        <f t="shared" si="89"/>
        <v>131.2507227469616</v>
      </c>
      <c r="E759" s="18">
        <f t="shared" si="88"/>
        <v>-51.2507227469616</v>
      </c>
      <c r="F759" s="1">
        <f t="shared" si="94"/>
        <v>80</v>
      </c>
      <c r="G759" s="9">
        <f t="shared" si="90"/>
        <v>0</v>
      </c>
      <c r="H759" s="9">
        <f t="shared" si="91"/>
        <v>80</v>
      </c>
      <c r="I759" s="9">
        <f t="shared" si="92"/>
        <v>0</v>
      </c>
      <c r="J759" s="9">
        <f t="shared" si="93"/>
        <v>0</v>
      </c>
      <c r="K759" s="1">
        <f t="shared" si="95"/>
        <v>80</v>
      </c>
      <c r="L759" s="1"/>
      <c r="M759" s="3"/>
      <c r="N759" s="3"/>
      <c r="O759" s="3"/>
      <c r="P759" s="3"/>
      <c r="Q759" s="3"/>
      <c r="R759" s="1"/>
    </row>
    <row r="760" spans="2:18" x14ac:dyDescent="0.2">
      <c r="B760">
        <v>748</v>
      </c>
      <c r="C760" s="1">
        <v>0.67510150647597211</v>
      </c>
      <c r="D760" s="1">
        <f t="shared" si="89"/>
        <v>131.66108591429528</v>
      </c>
      <c r="E760" s="18">
        <f t="shared" ref="E760:E823" si="96">-MIN(D760-F,(-IF(AND(D760&gt;=F-dis, D760&lt;F), F-D760, IF(D760&gt;=F, $E$7, 0))))</f>
        <v>-51.661085914295285</v>
      </c>
      <c r="F760" s="1">
        <f t="shared" si="94"/>
        <v>80</v>
      </c>
      <c r="G760" s="9">
        <f t="shared" si="90"/>
        <v>0</v>
      </c>
      <c r="H760" s="9">
        <f t="shared" si="91"/>
        <v>80</v>
      </c>
      <c r="I760" s="9">
        <f t="shared" si="92"/>
        <v>0</v>
      </c>
      <c r="J760" s="9">
        <f t="shared" si="93"/>
        <v>0</v>
      </c>
      <c r="K760" s="1">
        <f t="shared" si="95"/>
        <v>80</v>
      </c>
      <c r="L760" s="1"/>
      <c r="M760" s="3"/>
      <c r="N760" s="3"/>
      <c r="O760" s="3"/>
      <c r="P760" s="3"/>
      <c r="Q760" s="3"/>
      <c r="R760" s="1"/>
    </row>
    <row r="761" spans="2:18" x14ac:dyDescent="0.2">
      <c r="B761">
        <v>749</v>
      </c>
      <c r="C761" s="1">
        <v>0.67586052284244968</v>
      </c>
      <c r="D761" s="1">
        <f t="shared" si="89"/>
        <v>131.7210593209202</v>
      </c>
      <c r="E761" s="18">
        <f t="shared" si="96"/>
        <v>-51.721059320920205</v>
      </c>
      <c r="F761" s="1">
        <f t="shared" si="94"/>
        <v>80</v>
      </c>
      <c r="G761" s="9">
        <f t="shared" si="90"/>
        <v>0</v>
      </c>
      <c r="H761" s="9">
        <f t="shared" si="91"/>
        <v>80</v>
      </c>
      <c r="I761" s="9">
        <f t="shared" si="92"/>
        <v>0</v>
      </c>
      <c r="J761" s="9">
        <f t="shared" si="93"/>
        <v>0</v>
      </c>
      <c r="K761" s="1">
        <f t="shared" si="95"/>
        <v>80</v>
      </c>
      <c r="L761" s="1"/>
      <c r="M761" s="3"/>
      <c r="N761" s="3"/>
      <c r="O761" s="3"/>
      <c r="P761" s="3"/>
      <c r="Q761" s="3"/>
      <c r="R761" s="1"/>
    </row>
    <row r="762" spans="2:18" x14ac:dyDescent="0.2">
      <c r="B762">
        <v>750</v>
      </c>
      <c r="C762" s="1">
        <v>0.67649918438857026</v>
      </c>
      <c r="D762" s="1">
        <f t="shared" si="89"/>
        <v>131.77154409834978</v>
      </c>
      <c r="E762" s="18">
        <f t="shared" si="96"/>
        <v>-51.771544098349779</v>
      </c>
      <c r="F762" s="1">
        <f t="shared" si="94"/>
        <v>80</v>
      </c>
      <c r="G762" s="9">
        <f t="shared" si="90"/>
        <v>0</v>
      </c>
      <c r="H762" s="9">
        <f t="shared" si="91"/>
        <v>80</v>
      </c>
      <c r="I762" s="9">
        <f t="shared" si="92"/>
        <v>0</v>
      </c>
      <c r="J762" s="9">
        <f t="shared" si="93"/>
        <v>0</v>
      </c>
      <c r="K762" s="1">
        <f t="shared" si="95"/>
        <v>80</v>
      </c>
      <c r="L762" s="1"/>
      <c r="M762" s="3"/>
      <c r="N762" s="3"/>
      <c r="O762" s="3"/>
      <c r="P762" s="3"/>
      <c r="Q762" s="3"/>
      <c r="R762" s="1"/>
    </row>
    <row r="763" spans="2:18" x14ac:dyDescent="0.2">
      <c r="B763">
        <v>751</v>
      </c>
      <c r="C763" s="1">
        <v>0.68308117346339325</v>
      </c>
      <c r="D763" s="1">
        <f t="shared" si="89"/>
        <v>132.29296433353599</v>
      </c>
      <c r="E763" s="18">
        <f t="shared" si="96"/>
        <v>-52.292964333535991</v>
      </c>
      <c r="F763" s="1">
        <f t="shared" si="94"/>
        <v>80</v>
      </c>
      <c r="G763" s="9">
        <f t="shared" si="90"/>
        <v>0</v>
      </c>
      <c r="H763" s="9">
        <f t="shared" si="91"/>
        <v>80</v>
      </c>
      <c r="I763" s="9">
        <f t="shared" si="92"/>
        <v>0</v>
      </c>
      <c r="J763" s="9">
        <f t="shared" si="93"/>
        <v>0</v>
      </c>
      <c r="K763" s="1">
        <f t="shared" si="95"/>
        <v>80</v>
      </c>
      <c r="L763" s="1"/>
      <c r="M763" s="3"/>
      <c r="N763" s="3"/>
      <c r="O763" s="3"/>
      <c r="P763" s="3"/>
      <c r="Q763" s="3"/>
      <c r="R763" s="1"/>
    </row>
    <row r="764" spans="2:18" x14ac:dyDescent="0.2">
      <c r="B764">
        <v>752</v>
      </c>
      <c r="C764" s="1">
        <v>0.6851894504224022</v>
      </c>
      <c r="D764" s="1">
        <f t="shared" si="89"/>
        <v>132.46041634689959</v>
      </c>
      <c r="E764" s="18">
        <f t="shared" si="96"/>
        <v>-52.460416346899592</v>
      </c>
      <c r="F764" s="1">
        <f t="shared" si="94"/>
        <v>80</v>
      </c>
      <c r="G764" s="9">
        <f t="shared" si="90"/>
        <v>0</v>
      </c>
      <c r="H764" s="9">
        <f t="shared" si="91"/>
        <v>80</v>
      </c>
      <c r="I764" s="9">
        <f t="shared" si="92"/>
        <v>0</v>
      </c>
      <c r="J764" s="9">
        <f t="shared" si="93"/>
        <v>0</v>
      </c>
      <c r="K764" s="1">
        <f t="shared" si="95"/>
        <v>80</v>
      </c>
      <c r="L764" s="1"/>
      <c r="M764" s="3"/>
      <c r="N764" s="3"/>
      <c r="O764" s="3"/>
      <c r="P764" s="3"/>
      <c r="Q764" s="3"/>
      <c r="R764" s="1"/>
    </row>
    <row r="765" spans="2:18" x14ac:dyDescent="0.2">
      <c r="B765">
        <v>753</v>
      </c>
      <c r="C765" s="1">
        <v>0.68690752243058284</v>
      </c>
      <c r="D765" s="1">
        <f t="shared" si="89"/>
        <v>132.59703266991644</v>
      </c>
      <c r="E765" s="18">
        <f t="shared" si="96"/>
        <v>-52.597032669916445</v>
      </c>
      <c r="F765" s="1">
        <f t="shared" si="94"/>
        <v>80</v>
      </c>
      <c r="G765" s="9">
        <f t="shared" si="90"/>
        <v>0</v>
      </c>
      <c r="H765" s="9">
        <f t="shared" si="91"/>
        <v>80</v>
      </c>
      <c r="I765" s="9">
        <f t="shared" si="92"/>
        <v>0</v>
      </c>
      <c r="J765" s="9">
        <f t="shared" si="93"/>
        <v>0</v>
      </c>
      <c r="K765" s="1">
        <f t="shared" si="95"/>
        <v>80</v>
      </c>
      <c r="L765" s="1"/>
      <c r="M765" s="3"/>
      <c r="N765" s="3"/>
      <c r="O765" s="3"/>
      <c r="P765" s="3"/>
      <c r="Q765" s="3"/>
      <c r="R765" s="1"/>
    </row>
    <row r="766" spans="2:18" x14ac:dyDescent="0.2">
      <c r="B766">
        <v>754</v>
      </c>
      <c r="C766" s="1">
        <v>0.68835130143876433</v>
      </c>
      <c r="D766" s="1">
        <f t="shared" si="89"/>
        <v>132.71194692335595</v>
      </c>
      <c r="E766" s="18">
        <f t="shared" si="96"/>
        <v>-52.711946923355953</v>
      </c>
      <c r="F766" s="1">
        <f t="shared" si="94"/>
        <v>80</v>
      </c>
      <c r="G766" s="9">
        <f t="shared" si="90"/>
        <v>0</v>
      </c>
      <c r="H766" s="9">
        <f t="shared" si="91"/>
        <v>80</v>
      </c>
      <c r="I766" s="9">
        <f t="shared" si="92"/>
        <v>0</v>
      </c>
      <c r="J766" s="9">
        <f t="shared" si="93"/>
        <v>0</v>
      </c>
      <c r="K766" s="1">
        <f t="shared" si="95"/>
        <v>80</v>
      </c>
      <c r="L766" s="1"/>
      <c r="M766" s="3"/>
      <c r="N766" s="3"/>
      <c r="O766" s="3"/>
      <c r="P766" s="3"/>
      <c r="Q766" s="3"/>
      <c r="R766" s="1"/>
    </row>
    <row r="767" spans="2:18" x14ac:dyDescent="0.2">
      <c r="B767">
        <v>755</v>
      </c>
      <c r="C767" s="1">
        <v>0.68964031852209007</v>
      </c>
      <c r="D767" s="1">
        <f t="shared" si="89"/>
        <v>132.81462740535363</v>
      </c>
      <c r="E767" s="18">
        <f t="shared" si="96"/>
        <v>-52.814627405353633</v>
      </c>
      <c r="F767" s="1">
        <f t="shared" si="94"/>
        <v>80</v>
      </c>
      <c r="G767" s="9">
        <f t="shared" si="90"/>
        <v>0</v>
      </c>
      <c r="H767" s="9">
        <f t="shared" si="91"/>
        <v>80</v>
      </c>
      <c r="I767" s="9">
        <f t="shared" si="92"/>
        <v>0</v>
      </c>
      <c r="J767" s="9">
        <f t="shared" si="93"/>
        <v>0</v>
      </c>
      <c r="K767" s="1">
        <f t="shared" si="95"/>
        <v>80</v>
      </c>
      <c r="L767" s="1"/>
      <c r="M767" s="3"/>
      <c r="N767" s="3"/>
      <c r="O767" s="3"/>
      <c r="P767" s="3"/>
      <c r="Q767" s="3"/>
      <c r="R767" s="1"/>
    </row>
    <row r="768" spans="2:18" x14ac:dyDescent="0.2">
      <c r="B768">
        <v>756</v>
      </c>
      <c r="C768" s="1">
        <v>0.69050395188578417</v>
      </c>
      <c r="D768" s="1">
        <f t="shared" si="89"/>
        <v>132.88346712554534</v>
      </c>
      <c r="E768" s="18">
        <f t="shared" si="96"/>
        <v>-52.883467125545337</v>
      </c>
      <c r="F768" s="1">
        <f t="shared" si="94"/>
        <v>80</v>
      </c>
      <c r="G768" s="9">
        <f t="shared" si="90"/>
        <v>0</v>
      </c>
      <c r="H768" s="9">
        <f t="shared" si="91"/>
        <v>80</v>
      </c>
      <c r="I768" s="9">
        <f t="shared" si="92"/>
        <v>0</v>
      </c>
      <c r="J768" s="9">
        <f t="shared" si="93"/>
        <v>0</v>
      </c>
      <c r="K768" s="1">
        <f t="shared" si="95"/>
        <v>80</v>
      </c>
      <c r="L768" s="1"/>
      <c r="M768" s="3"/>
      <c r="N768" s="3"/>
      <c r="O768" s="3"/>
      <c r="P768" s="3"/>
      <c r="Q768" s="3"/>
      <c r="R768" s="1"/>
    </row>
    <row r="769" spans="2:18" x14ac:dyDescent="0.2">
      <c r="B769">
        <v>757</v>
      </c>
      <c r="C769" s="1">
        <v>0.69150017417020038</v>
      </c>
      <c r="D769" s="1">
        <f t="shared" si="89"/>
        <v>132.96291975163129</v>
      </c>
      <c r="E769" s="18">
        <f t="shared" si="96"/>
        <v>-52.96291975163129</v>
      </c>
      <c r="F769" s="1">
        <f t="shared" si="94"/>
        <v>80</v>
      </c>
      <c r="G769" s="9">
        <f t="shared" si="90"/>
        <v>0</v>
      </c>
      <c r="H769" s="9">
        <f t="shared" si="91"/>
        <v>80</v>
      </c>
      <c r="I769" s="9">
        <f t="shared" si="92"/>
        <v>0</v>
      </c>
      <c r="J769" s="9">
        <f t="shared" si="93"/>
        <v>0</v>
      </c>
      <c r="K769" s="1">
        <f t="shared" si="95"/>
        <v>80</v>
      </c>
      <c r="L769" s="1"/>
      <c r="M769" s="3"/>
      <c r="N769" s="3"/>
      <c r="O769" s="3"/>
      <c r="P769" s="3"/>
      <c r="Q769" s="3"/>
      <c r="R769" s="1"/>
    </row>
    <row r="770" spans="2:18" x14ac:dyDescent="0.2">
      <c r="B770">
        <v>758</v>
      </c>
      <c r="C770" s="1">
        <v>0.69281196720926763</v>
      </c>
      <c r="D770" s="1">
        <f t="shared" si="89"/>
        <v>133.06761284647911</v>
      </c>
      <c r="E770" s="18">
        <f t="shared" si="96"/>
        <v>-53.067612846479108</v>
      </c>
      <c r="F770" s="1">
        <f t="shared" si="94"/>
        <v>80</v>
      </c>
      <c r="G770" s="9">
        <f t="shared" si="90"/>
        <v>0</v>
      </c>
      <c r="H770" s="9">
        <f t="shared" si="91"/>
        <v>80</v>
      </c>
      <c r="I770" s="9">
        <f t="shared" si="92"/>
        <v>0</v>
      </c>
      <c r="J770" s="9">
        <f t="shared" si="93"/>
        <v>0</v>
      </c>
      <c r="K770" s="1">
        <f t="shared" si="95"/>
        <v>80</v>
      </c>
      <c r="L770" s="1"/>
      <c r="M770" s="3"/>
      <c r="N770" s="3"/>
      <c r="O770" s="3"/>
      <c r="P770" s="3"/>
      <c r="Q770" s="3"/>
      <c r="R770" s="1"/>
    </row>
    <row r="771" spans="2:18" x14ac:dyDescent="0.2">
      <c r="B771">
        <v>759</v>
      </c>
      <c r="C771" s="1">
        <v>0.69906928025469328</v>
      </c>
      <c r="D771" s="1">
        <f t="shared" si="89"/>
        <v>133.56813926957921</v>
      </c>
      <c r="E771" s="18">
        <f t="shared" si="96"/>
        <v>-53.568139269579206</v>
      </c>
      <c r="F771" s="1">
        <f t="shared" si="94"/>
        <v>80</v>
      </c>
      <c r="G771" s="9">
        <f t="shared" si="90"/>
        <v>0</v>
      </c>
      <c r="H771" s="9">
        <f t="shared" si="91"/>
        <v>80</v>
      </c>
      <c r="I771" s="9">
        <f t="shared" si="92"/>
        <v>0</v>
      </c>
      <c r="J771" s="9">
        <f t="shared" si="93"/>
        <v>0</v>
      </c>
      <c r="K771" s="1">
        <f t="shared" si="95"/>
        <v>80</v>
      </c>
      <c r="L771" s="1"/>
      <c r="M771" s="3"/>
      <c r="N771" s="3"/>
      <c r="O771" s="3"/>
      <c r="P771" s="3"/>
      <c r="Q771" s="3"/>
      <c r="R771" s="1"/>
    </row>
    <row r="772" spans="2:18" x14ac:dyDescent="0.2">
      <c r="B772">
        <v>760</v>
      </c>
      <c r="C772" s="1">
        <v>0.70156566812359855</v>
      </c>
      <c r="D772" s="1">
        <f t="shared" si="89"/>
        <v>133.76835190419229</v>
      </c>
      <c r="E772" s="18">
        <f t="shared" si="96"/>
        <v>-53.768351904192286</v>
      </c>
      <c r="F772" s="1">
        <f t="shared" si="94"/>
        <v>80</v>
      </c>
      <c r="G772" s="9">
        <f t="shared" si="90"/>
        <v>0</v>
      </c>
      <c r="H772" s="9">
        <f t="shared" si="91"/>
        <v>80</v>
      </c>
      <c r="I772" s="9">
        <f t="shared" si="92"/>
        <v>0</v>
      </c>
      <c r="J772" s="9">
        <f t="shared" si="93"/>
        <v>0</v>
      </c>
      <c r="K772" s="1">
        <f t="shared" si="95"/>
        <v>80</v>
      </c>
      <c r="L772" s="1"/>
      <c r="M772" s="3"/>
      <c r="N772" s="3"/>
      <c r="O772" s="3"/>
      <c r="P772" s="3"/>
      <c r="Q772" s="3"/>
      <c r="R772" s="1"/>
    </row>
    <row r="773" spans="2:18" x14ac:dyDescent="0.2">
      <c r="B773">
        <v>761</v>
      </c>
      <c r="C773" s="1">
        <v>0.70385204829372539</v>
      </c>
      <c r="D773" s="1">
        <f t="shared" si="89"/>
        <v>133.95198501623622</v>
      </c>
      <c r="E773" s="18">
        <f t="shared" si="96"/>
        <v>-53.951985016236222</v>
      </c>
      <c r="F773" s="1">
        <f t="shared" si="94"/>
        <v>80</v>
      </c>
      <c r="G773" s="9">
        <f t="shared" si="90"/>
        <v>0</v>
      </c>
      <c r="H773" s="9">
        <f t="shared" si="91"/>
        <v>80</v>
      </c>
      <c r="I773" s="9">
        <f t="shared" si="92"/>
        <v>0</v>
      </c>
      <c r="J773" s="9">
        <f t="shared" si="93"/>
        <v>0</v>
      </c>
      <c r="K773" s="1">
        <f t="shared" si="95"/>
        <v>80</v>
      </c>
      <c r="L773" s="1"/>
      <c r="M773" s="3"/>
      <c r="N773" s="3"/>
      <c r="O773" s="3"/>
      <c r="P773" s="3"/>
      <c r="Q773" s="3"/>
      <c r="R773" s="1"/>
    </row>
    <row r="774" spans="2:18" x14ac:dyDescent="0.2">
      <c r="B774">
        <v>762</v>
      </c>
      <c r="C774" s="1">
        <v>0.70457702970634861</v>
      </c>
      <c r="D774" s="1">
        <f t="shared" si="89"/>
        <v>134.01026531054873</v>
      </c>
      <c r="E774" s="18">
        <f t="shared" si="96"/>
        <v>-54.010265310548732</v>
      </c>
      <c r="F774" s="1">
        <f t="shared" si="94"/>
        <v>80</v>
      </c>
      <c r="G774" s="9">
        <f t="shared" si="90"/>
        <v>0</v>
      </c>
      <c r="H774" s="9">
        <f t="shared" si="91"/>
        <v>80</v>
      </c>
      <c r="I774" s="9">
        <f t="shared" si="92"/>
        <v>0</v>
      </c>
      <c r="J774" s="9">
        <f t="shared" si="93"/>
        <v>0</v>
      </c>
      <c r="K774" s="1">
        <f t="shared" si="95"/>
        <v>80</v>
      </c>
      <c r="L774" s="1"/>
      <c r="M774" s="3"/>
      <c r="N774" s="3"/>
      <c r="O774" s="3"/>
      <c r="P774" s="3"/>
      <c r="Q774" s="3"/>
      <c r="R774" s="1"/>
    </row>
    <row r="775" spans="2:18" x14ac:dyDescent="0.2">
      <c r="B775">
        <v>763</v>
      </c>
      <c r="C775" s="1">
        <v>0.70514322940824448</v>
      </c>
      <c r="D775" s="1">
        <f t="shared" si="89"/>
        <v>134.05579898781906</v>
      </c>
      <c r="E775" s="18">
        <f t="shared" si="96"/>
        <v>-54.05579898781906</v>
      </c>
      <c r="F775" s="1">
        <f t="shared" si="94"/>
        <v>80</v>
      </c>
      <c r="G775" s="9">
        <f t="shared" si="90"/>
        <v>0</v>
      </c>
      <c r="H775" s="9">
        <f t="shared" si="91"/>
        <v>80</v>
      </c>
      <c r="I775" s="9">
        <f t="shared" si="92"/>
        <v>0</v>
      </c>
      <c r="J775" s="9">
        <f t="shared" si="93"/>
        <v>0</v>
      </c>
      <c r="K775" s="1">
        <f t="shared" si="95"/>
        <v>80</v>
      </c>
      <c r="L775" s="1"/>
      <c r="M775" s="3"/>
      <c r="N775" s="3"/>
      <c r="O775" s="3"/>
      <c r="P775" s="3"/>
      <c r="Q775" s="3"/>
      <c r="R775" s="1"/>
    </row>
    <row r="776" spans="2:18" x14ac:dyDescent="0.2">
      <c r="B776">
        <v>764</v>
      </c>
      <c r="C776" s="1">
        <v>0.70828532005811773</v>
      </c>
      <c r="D776" s="1">
        <f t="shared" si="89"/>
        <v>134.30876665062954</v>
      </c>
      <c r="E776" s="18">
        <f t="shared" si="96"/>
        <v>-54.308766650629536</v>
      </c>
      <c r="F776" s="1">
        <f t="shared" si="94"/>
        <v>80</v>
      </c>
      <c r="G776" s="9">
        <f t="shared" si="90"/>
        <v>0</v>
      </c>
      <c r="H776" s="9">
        <f t="shared" si="91"/>
        <v>80</v>
      </c>
      <c r="I776" s="9">
        <f t="shared" si="92"/>
        <v>0</v>
      </c>
      <c r="J776" s="9">
        <f t="shared" si="93"/>
        <v>0</v>
      </c>
      <c r="K776" s="1">
        <f t="shared" si="95"/>
        <v>80</v>
      </c>
      <c r="L776" s="1"/>
      <c r="M776" s="3"/>
      <c r="N776" s="3"/>
      <c r="O776" s="3"/>
      <c r="P776" s="3"/>
      <c r="Q776" s="3"/>
      <c r="R776" s="1"/>
    </row>
    <row r="777" spans="2:18" x14ac:dyDescent="0.2">
      <c r="B777">
        <v>765</v>
      </c>
      <c r="C777" s="1">
        <v>0.70922571162226378</v>
      </c>
      <c r="D777" s="1">
        <f t="shared" si="89"/>
        <v>134.38456973268163</v>
      </c>
      <c r="E777" s="18">
        <f t="shared" si="96"/>
        <v>-54.384569732681626</v>
      </c>
      <c r="F777" s="1">
        <f t="shared" si="94"/>
        <v>80</v>
      </c>
      <c r="G777" s="9">
        <f t="shared" si="90"/>
        <v>0</v>
      </c>
      <c r="H777" s="9">
        <f t="shared" si="91"/>
        <v>80</v>
      </c>
      <c r="I777" s="9">
        <f t="shared" si="92"/>
        <v>0</v>
      </c>
      <c r="J777" s="9">
        <f t="shared" si="93"/>
        <v>0</v>
      </c>
      <c r="K777" s="1">
        <f t="shared" si="95"/>
        <v>80</v>
      </c>
      <c r="L777" s="1"/>
      <c r="M777" s="3"/>
      <c r="N777" s="3"/>
      <c r="O777" s="3"/>
      <c r="P777" s="3"/>
      <c r="Q777" s="3"/>
      <c r="R777" s="1"/>
    </row>
    <row r="778" spans="2:18" x14ac:dyDescent="0.2">
      <c r="B778">
        <v>766</v>
      </c>
      <c r="C778" s="1">
        <v>0.71882812837455978</v>
      </c>
      <c r="D778" s="1">
        <f t="shared" si="89"/>
        <v>135.16105440980911</v>
      </c>
      <c r="E778" s="18">
        <f t="shared" si="96"/>
        <v>-55.161054409809111</v>
      </c>
      <c r="F778" s="1">
        <f t="shared" si="94"/>
        <v>80</v>
      </c>
      <c r="G778" s="9">
        <f t="shared" si="90"/>
        <v>0</v>
      </c>
      <c r="H778" s="9">
        <f t="shared" si="91"/>
        <v>80</v>
      </c>
      <c r="I778" s="9">
        <f t="shared" si="92"/>
        <v>0</v>
      </c>
      <c r="J778" s="9">
        <f t="shared" si="93"/>
        <v>0</v>
      </c>
      <c r="K778" s="1">
        <f t="shared" si="95"/>
        <v>80</v>
      </c>
      <c r="L778" s="1"/>
      <c r="M778" s="3"/>
      <c r="N778" s="3"/>
      <c r="O778" s="3"/>
      <c r="P778" s="3"/>
      <c r="Q778" s="3"/>
      <c r="R778" s="1"/>
    </row>
    <row r="779" spans="2:18" x14ac:dyDescent="0.2">
      <c r="B779">
        <v>767</v>
      </c>
      <c r="C779" s="1">
        <v>0.73116869110320704</v>
      </c>
      <c r="D779" s="1">
        <f t="shared" si="89"/>
        <v>136.16554670289941</v>
      </c>
      <c r="E779" s="18">
        <f t="shared" si="96"/>
        <v>-56.165546702899405</v>
      </c>
      <c r="F779" s="1">
        <f t="shared" si="94"/>
        <v>80</v>
      </c>
      <c r="G779" s="9">
        <f t="shared" si="90"/>
        <v>0</v>
      </c>
      <c r="H779" s="9">
        <f t="shared" si="91"/>
        <v>80</v>
      </c>
      <c r="I779" s="9">
        <f t="shared" si="92"/>
        <v>0</v>
      </c>
      <c r="J779" s="9">
        <f t="shared" si="93"/>
        <v>0</v>
      </c>
      <c r="K779" s="1">
        <f t="shared" si="95"/>
        <v>80</v>
      </c>
      <c r="L779" s="1"/>
      <c r="M779" s="3"/>
      <c r="N779" s="3"/>
      <c r="O779" s="3"/>
      <c r="P779" s="3"/>
      <c r="Q779" s="3"/>
      <c r="R779" s="1"/>
    </row>
    <row r="780" spans="2:18" x14ac:dyDescent="0.2">
      <c r="B780">
        <v>768</v>
      </c>
      <c r="C780" s="1">
        <v>0.73468626409355042</v>
      </c>
      <c r="D780" s="1">
        <f t="shared" si="89"/>
        <v>136.45323353351617</v>
      </c>
      <c r="E780" s="18">
        <f t="shared" si="96"/>
        <v>-56.453233533516169</v>
      </c>
      <c r="F780" s="1">
        <f t="shared" si="94"/>
        <v>80</v>
      </c>
      <c r="G780" s="9">
        <f t="shared" si="90"/>
        <v>0</v>
      </c>
      <c r="H780" s="9">
        <f t="shared" si="91"/>
        <v>80</v>
      </c>
      <c r="I780" s="9">
        <f t="shared" si="92"/>
        <v>0</v>
      </c>
      <c r="J780" s="9">
        <f t="shared" si="93"/>
        <v>0</v>
      </c>
      <c r="K780" s="1">
        <f t="shared" si="95"/>
        <v>80</v>
      </c>
      <c r="L780" s="1"/>
      <c r="M780" s="3"/>
      <c r="N780" s="3"/>
      <c r="O780" s="3"/>
      <c r="P780" s="3"/>
      <c r="Q780" s="3"/>
      <c r="R780" s="1"/>
    </row>
    <row r="781" spans="2:18" x14ac:dyDescent="0.2">
      <c r="B781">
        <v>769</v>
      </c>
      <c r="C781" s="1">
        <v>0.73506825844376467</v>
      </c>
      <c r="D781" s="1">
        <f t="shared" ref="D781:D844" si="97">a0*EXP((RR-0.5*sigma^2)*T+sigma*SQRT(T)*C781)</f>
        <v>136.48451173637523</v>
      </c>
      <c r="E781" s="18">
        <f t="shared" si="96"/>
        <v>-56.484511736375225</v>
      </c>
      <c r="F781" s="1">
        <f t="shared" si="94"/>
        <v>80</v>
      </c>
      <c r="G781" s="9">
        <f t="shared" ref="G781:G844" si="98">IF(F781&lt;F,MIN(disc,F781),0)</f>
        <v>0</v>
      </c>
      <c r="H781" s="9">
        <f t="shared" ref="H781:H844" si="99">IF(F781&gt;=F,F,F781-G781)</f>
        <v>80</v>
      </c>
      <c r="I781" s="9">
        <f t="shared" ref="I781:I844" si="100">(1-tax)*(F781-G781-H781)</f>
        <v>0</v>
      </c>
      <c r="J781" s="9">
        <f t="shared" ref="J781:J844" si="101">tax*(F781-G781-H781)</f>
        <v>0</v>
      </c>
      <c r="K781" s="1">
        <f t="shared" si="95"/>
        <v>80</v>
      </c>
      <c r="L781" s="1"/>
      <c r="M781" s="3"/>
      <c r="N781" s="3"/>
      <c r="O781" s="3"/>
      <c r="P781" s="3"/>
      <c r="Q781" s="3"/>
      <c r="R781" s="1"/>
    </row>
    <row r="782" spans="2:18" x14ac:dyDescent="0.2">
      <c r="B782">
        <v>770</v>
      </c>
      <c r="C782" s="1">
        <v>0.75261631154273345</v>
      </c>
      <c r="D782" s="1">
        <f t="shared" si="97"/>
        <v>137.92912591640157</v>
      </c>
      <c r="E782" s="18">
        <f t="shared" si="96"/>
        <v>-57.929125916401574</v>
      </c>
      <c r="F782" s="1">
        <f t="shared" ref="F782:F845" si="102">D782+E782</f>
        <v>80</v>
      </c>
      <c r="G782" s="9">
        <f t="shared" si="98"/>
        <v>0</v>
      </c>
      <c r="H782" s="9">
        <f t="shared" si="99"/>
        <v>80</v>
      </c>
      <c r="I782" s="9">
        <f t="shared" si="100"/>
        <v>0</v>
      </c>
      <c r="J782" s="9">
        <f t="shared" si="101"/>
        <v>0</v>
      </c>
      <c r="K782" s="1">
        <f t="shared" ref="K782:K845" si="103">SUM(G782:J782)</f>
        <v>80</v>
      </c>
      <c r="L782" s="1"/>
      <c r="M782" s="3"/>
      <c r="N782" s="3"/>
      <c r="O782" s="3"/>
      <c r="P782" s="3"/>
      <c r="Q782" s="3"/>
      <c r="R782" s="1"/>
    </row>
    <row r="783" spans="2:18" x14ac:dyDescent="0.2">
      <c r="B783">
        <v>771</v>
      </c>
      <c r="C783" s="1">
        <v>0.75299138847457603</v>
      </c>
      <c r="D783" s="1">
        <f t="shared" si="97"/>
        <v>137.96016982944352</v>
      </c>
      <c r="E783" s="18">
        <f t="shared" si="96"/>
        <v>-57.960169829443515</v>
      </c>
      <c r="F783" s="1">
        <f t="shared" si="102"/>
        <v>80</v>
      </c>
      <c r="G783" s="9">
        <f t="shared" si="98"/>
        <v>0</v>
      </c>
      <c r="H783" s="9">
        <f t="shared" si="99"/>
        <v>80</v>
      </c>
      <c r="I783" s="9">
        <f t="shared" si="100"/>
        <v>0</v>
      </c>
      <c r="J783" s="9">
        <f t="shared" si="101"/>
        <v>0</v>
      </c>
      <c r="K783" s="1">
        <f t="shared" si="103"/>
        <v>80</v>
      </c>
      <c r="L783" s="1"/>
      <c r="M783" s="3"/>
      <c r="N783" s="3"/>
      <c r="O783" s="3"/>
      <c r="P783" s="3"/>
      <c r="Q783" s="3"/>
      <c r="R783" s="1"/>
    </row>
    <row r="784" spans="2:18" x14ac:dyDescent="0.2">
      <c r="B784">
        <v>772</v>
      </c>
      <c r="C784" s="1">
        <v>0.75537072797923965</v>
      </c>
      <c r="D784" s="1">
        <f t="shared" si="97"/>
        <v>138.15726293067743</v>
      </c>
      <c r="E784" s="18">
        <f t="shared" si="96"/>
        <v>-58.157262930677433</v>
      </c>
      <c r="F784" s="1">
        <f t="shared" si="102"/>
        <v>80</v>
      </c>
      <c r="G784" s="9">
        <f t="shared" si="98"/>
        <v>0</v>
      </c>
      <c r="H784" s="9">
        <f t="shared" si="99"/>
        <v>80</v>
      </c>
      <c r="I784" s="9">
        <f t="shared" si="100"/>
        <v>0</v>
      </c>
      <c r="J784" s="9">
        <f t="shared" si="101"/>
        <v>0</v>
      </c>
      <c r="K784" s="1">
        <f t="shared" si="103"/>
        <v>80</v>
      </c>
      <c r="L784" s="1"/>
      <c r="M784" s="3"/>
      <c r="N784" s="3"/>
      <c r="O784" s="3"/>
      <c r="P784" s="3"/>
      <c r="Q784" s="3"/>
      <c r="R784" s="1"/>
    </row>
    <row r="785" spans="2:18" x14ac:dyDescent="0.2">
      <c r="B785">
        <v>773</v>
      </c>
      <c r="C785" s="1">
        <v>0.76597264939242804</v>
      </c>
      <c r="D785" s="1">
        <f t="shared" si="97"/>
        <v>139.03890354968632</v>
      </c>
      <c r="E785" s="18">
        <f t="shared" si="96"/>
        <v>-59.038903549686324</v>
      </c>
      <c r="F785" s="1">
        <f t="shared" si="102"/>
        <v>80</v>
      </c>
      <c r="G785" s="9">
        <f t="shared" si="98"/>
        <v>0</v>
      </c>
      <c r="H785" s="9">
        <f t="shared" si="99"/>
        <v>80</v>
      </c>
      <c r="I785" s="9">
        <f t="shared" si="100"/>
        <v>0</v>
      </c>
      <c r="J785" s="9">
        <f t="shared" si="101"/>
        <v>0</v>
      </c>
      <c r="K785" s="1">
        <f t="shared" si="103"/>
        <v>80</v>
      </c>
      <c r="L785" s="1"/>
      <c r="M785" s="3"/>
      <c r="N785" s="3"/>
      <c r="O785" s="3"/>
      <c r="P785" s="3"/>
      <c r="Q785" s="3"/>
      <c r="R785" s="1"/>
    </row>
    <row r="786" spans="2:18" x14ac:dyDescent="0.2">
      <c r="B786">
        <v>774</v>
      </c>
      <c r="C786" s="1">
        <v>0.770566807761627</v>
      </c>
      <c r="D786" s="1">
        <f t="shared" si="97"/>
        <v>139.42269230800866</v>
      </c>
      <c r="E786" s="18">
        <f t="shared" si="96"/>
        <v>-59.422692308008664</v>
      </c>
      <c r="F786" s="1">
        <f t="shared" si="102"/>
        <v>80</v>
      </c>
      <c r="G786" s="9">
        <f t="shared" si="98"/>
        <v>0</v>
      </c>
      <c r="H786" s="9">
        <f t="shared" si="99"/>
        <v>80</v>
      </c>
      <c r="I786" s="9">
        <f t="shared" si="100"/>
        <v>0</v>
      </c>
      <c r="J786" s="9">
        <f t="shared" si="101"/>
        <v>0</v>
      </c>
      <c r="K786" s="1">
        <f t="shared" si="103"/>
        <v>80</v>
      </c>
      <c r="L786" s="1"/>
      <c r="M786" s="3"/>
      <c r="N786" s="3"/>
      <c r="O786" s="3"/>
      <c r="P786" s="3"/>
      <c r="Q786" s="3"/>
      <c r="R786" s="1"/>
    </row>
    <row r="787" spans="2:18" x14ac:dyDescent="0.2">
      <c r="B787">
        <v>775</v>
      </c>
      <c r="C787" s="1">
        <v>0.77275604021006061</v>
      </c>
      <c r="D787" s="1">
        <f t="shared" si="97"/>
        <v>139.60594984889519</v>
      </c>
      <c r="E787" s="18">
        <f t="shared" si="96"/>
        <v>-59.605949848895193</v>
      </c>
      <c r="F787" s="1">
        <f t="shared" si="102"/>
        <v>80</v>
      </c>
      <c r="G787" s="9">
        <f t="shared" si="98"/>
        <v>0</v>
      </c>
      <c r="H787" s="9">
        <f t="shared" si="99"/>
        <v>80</v>
      </c>
      <c r="I787" s="9">
        <f t="shared" si="100"/>
        <v>0</v>
      </c>
      <c r="J787" s="9">
        <f t="shared" si="101"/>
        <v>0</v>
      </c>
      <c r="K787" s="1">
        <f t="shared" si="103"/>
        <v>80</v>
      </c>
      <c r="L787" s="1"/>
      <c r="M787" s="3"/>
      <c r="N787" s="3"/>
      <c r="O787" s="3"/>
      <c r="P787" s="3"/>
      <c r="Q787" s="3"/>
      <c r="R787" s="1"/>
    </row>
    <row r="788" spans="2:18" x14ac:dyDescent="0.2">
      <c r="B788">
        <v>776</v>
      </c>
      <c r="C788" s="1">
        <v>0.77403587279178498</v>
      </c>
      <c r="D788" s="1">
        <f t="shared" si="97"/>
        <v>139.71319436606498</v>
      </c>
      <c r="E788" s="18">
        <f t="shared" si="96"/>
        <v>-59.713194366064982</v>
      </c>
      <c r="F788" s="1">
        <f t="shared" si="102"/>
        <v>80</v>
      </c>
      <c r="G788" s="9">
        <f t="shared" si="98"/>
        <v>0</v>
      </c>
      <c r="H788" s="9">
        <f t="shared" si="99"/>
        <v>80</v>
      </c>
      <c r="I788" s="9">
        <f t="shared" si="100"/>
        <v>0</v>
      </c>
      <c r="J788" s="9">
        <f t="shared" si="101"/>
        <v>0</v>
      </c>
      <c r="K788" s="1">
        <f t="shared" si="103"/>
        <v>80</v>
      </c>
      <c r="L788" s="1"/>
      <c r="M788" s="3"/>
      <c r="N788" s="3"/>
      <c r="O788" s="3"/>
      <c r="P788" s="3"/>
      <c r="Q788" s="3"/>
      <c r="R788" s="1"/>
    </row>
    <row r="789" spans="2:18" x14ac:dyDescent="0.2">
      <c r="B789">
        <v>777</v>
      </c>
      <c r="C789" s="1">
        <v>0.77564118383123115</v>
      </c>
      <c r="D789" s="1">
        <f t="shared" si="97"/>
        <v>139.84782907479482</v>
      </c>
      <c r="E789" s="18">
        <f t="shared" si="96"/>
        <v>-59.847829074794817</v>
      </c>
      <c r="F789" s="1">
        <f t="shared" si="102"/>
        <v>80</v>
      </c>
      <c r="G789" s="9">
        <f t="shared" si="98"/>
        <v>0</v>
      </c>
      <c r="H789" s="9">
        <f t="shared" si="99"/>
        <v>80</v>
      </c>
      <c r="I789" s="9">
        <f t="shared" si="100"/>
        <v>0</v>
      </c>
      <c r="J789" s="9">
        <f t="shared" si="101"/>
        <v>0</v>
      </c>
      <c r="K789" s="1">
        <f t="shared" si="103"/>
        <v>80</v>
      </c>
      <c r="L789" s="1"/>
      <c r="M789" s="3"/>
      <c r="N789" s="3"/>
      <c r="O789" s="3"/>
      <c r="P789" s="3"/>
      <c r="Q789" s="3"/>
      <c r="R789" s="1"/>
    </row>
    <row r="790" spans="2:18" x14ac:dyDescent="0.2">
      <c r="B790">
        <v>778</v>
      </c>
      <c r="C790" s="1">
        <v>0.77806181978755251</v>
      </c>
      <c r="D790" s="1">
        <f t="shared" si="97"/>
        <v>140.05108905467279</v>
      </c>
      <c r="E790" s="18">
        <f t="shared" si="96"/>
        <v>-60.016413459277487</v>
      </c>
      <c r="F790" s="1">
        <f t="shared" si="102"/>
        <v>80.034675595395299</v>
      </c>
      <c r="G790" s="9">
        <f t="shared" si="98"/>
        <v>0</v>
      </c>
      <c r="H790" s="9">
        <f t="shared" si="99"/>
        <v>80</v>
      </c>
      <c r="I790" s="9">
        <f t="shared" si="100"/>
        <v>2.0805357237179578E-2</v>
      </c>
      <c r="J790" s="9">
        <f t="shared" si="101"/>
        <v>1.3870238158119719E-2</v>
      </c>
      <c r="K790" s="1">
        <f t="shared" si="103"/>
        <v>80.034675595395299</v>
      </c>
      <c r="L790" s="1"/>
      <c r="M790" s="3"/>
      <c r="N790" s="3"/>
      <c r="O790" s="3"/>
      <c r="P790" s="3"/>
      <c r="Q790" s="3"/>
      <c r="R790" s="1"/>
    </row>
    <row r="791" spans="2:18" x14ac:dyDescent="0.2">
      <c r="B791">
        <v>779</v>
      </c>
      <c r="C791" s="1">
        <v>0.79115195610791711</v>
      </c>
      <c r="D791" s="1">
        <f t="shared" si="97"/>
        <v>141.15539273217829</v>
      </c>
      <c r="E791" s="18">
        <f t="shared" si="96"/>
        <v>-60.016413459277487</v>
      </c>
      <c r="F791" s="1">
        <f t="shared" si="102"/>
        <v>81.138979272900798</v>
      </c>
      <c r="G791" s="9">
        <f t="shared" si="98"/>
        <v>0</v>
      </c>
      <c r="H791" s="9">
        <f t="shared" si="99"/>
        <v>80</v>
      </c>
      <c r="I791" s="9">
        <f t="shared" si="100"/>
        <v>0.68338756374047871</v>
      </c>
      <c r="J791" s="9">
        <f t="shared" si="101"/>
        <v>0.45559170916031921</v>
      </c>
      <c r="K791" s="1">
        <f t="shared" si="103"/>
        <v>81.138979272900798</v>
      </c>
      <c r="L791" s="1"/>
      <c r="M791" s="3"/>
      <c r="N791" s="3"/>
      <c r="O791" s="3"/>
      <c r="P791" s="3"/>
      <c r="Q791" s="3"/>
      <c r="R791" s="1"/>
    </row>
    <row r="792" spans="2:18" x14ac:dyDescent="0.2">
      <c r="B792">
        <v>780</v>
      </c>
      <c r="C792" s="1">
        <v>0.79175484502428073</v>
      </c>
      <c r="D792" s="1">
        <f t="shared" si="97"/>
        <v>141.20646258151314</v>
      </c>
      <c r="E792" s="18">
        <f t="shared" si="96"/>
        <v>-60.016413459277487</v>
      </c>
      <c r="F792" s="1">
        <f t="shared" si="102"/>
        <v>81.190049122235649</v>
      </c>
      <c r="G792" s="9">
        <f t="shared" si="98"/>
        <v>0</v>
      </c>
      <c r="H792" s="9">
        <f t="shared" si="99"/>
        <v>80</v>
      </c>
      <c r="I792" s="9">
        <f t="shared" si="100"/>
        <v>0.71402947334138955</v>
      </c>
      <c r="J792" s="9">
        <f t="shared" si="101"/>
        <v>0.47601964889425974</v>
      </c>
      <c r="K792" s="1">
        <f t="shared" si="103"/>
        <v>81.190049122235649</v>
      </c>
      <c r="L792" s="1"/>
      <c r="M792" s="3"/>
      <c r="N792" s="3"/>
      <c r="O792" s="3"/>
      <c r="P792" s="3"/>
      <c r="Q792" s="3"/>
      <c r="R792" s="1"/>
    </row>
    <row r="793" spans="2:18" x14ac:dyDescent="0.2">
      <c r="B793">
        <v>781</v>
      </c>
      <c r="C793" s="1">
        <v>0.80118669917894536</v>
      </c>
      <c r="D793" s="1">
        <f t="shared" si="97"/>
        <v>142.00783121691168</v>
      </c>
      <c r="E793" s="18">
        <f t="shared" si="96"/>
        <v>-60.016413459277487</v>
      </c>
      <c r="F793" s="1">
        <f t="shared" si="102"/>
        <v>81.991417757634196</v>
      </c>
      <c r="G793" s="9">
        <f t="shared" si="98"/>
        <v>0</v>
      </c>
      <c r="H793" s="9">
        <f t="shared" si="99"/>
        <v>80</v>
      </c>
      <c r="I793" s="9">
        <f t="shared" si="100"/>
        <v>1.1948506545805173</v>
      </c>
      <c r="J793" s="9">
        <f t="shared" si="101"/>
        <v>0.79656710305367828</v>
      </c>
      <c r="K793" s="1">
        <f t="shared" si="103"/>
        <v>81.991417757634196</v>
      </c>
      <c r="L793" s="1"/>
      <c r="M793" s="3"/>
      <c r="N793" s="3"/>
      <c r="O793" s="3"/>
      <c r="P793" s="3"/>
      <c r="Q793" s="3"/>
      <c r="R793" s="1"/>
    </row>
    <row r="794" spans="2:18" x14ac:dyDescent="0.2">
      <c r="B794">
        <v>782</v>
      </c>
      <c r="C794" s="1">
        <v>0.81161128736612964</v>
      </c>
      <c r="D794" s="1">
        <f t="shared" si="97"/>
        <v>142.89883872385985</v>
      </c>
      <c r="E794" s="18">
        <f t="shared" si="96"/>
        <v>-60.016413459277487</v>
      </c>
      <c r="F794" s="1">
        <f t="shared" si="102"/>
        <v>82.882425264582366</v>
      </c>
      <c r="G794" s="9">
        <f t="shared" si="98"/>
        <v>0</v>
      </c>
      <c r="H794" s="9">
        <f t="shared" si="99"/>
        <v>80</v>
      </c>
      <c r="I794" s="9">
        <f t="shared" si="100"/>
        <v>1.7294551587494198</v>
      </c>
      <c r="J794" s="9">
        <f t="shared" si="101"/>
        <v>1.1529701058329465</v>
      </c>
      <c r="K794" s="1">
        <f t="shared" si="103"/>
        <v>82.882425264582366</v>
      </c>
      <c r="L794" s="1"/>
      <c r="M794" s="3"/>
      <c r="N794" s="3"/>
      <c r="O794" s="3"/>
      <c r="P794" s="3"/>
      <c r="Q794" s="3"/>
      <c r="R794" s="1"/>
    </row>
    <row r="795" spans="2:18" x14ac:dyDescent="0.2">
      <c r="B795">
        <v>783</v>
      </c>
      <c r="C795" s="1">
        <v>0.81407669822169126</v>
      </c>
      <c r="D795" s="1">
        <f t="shared" si="97"/>
        <v>143.11037775341438</v>
      </c>
      <c r="E795" s="18">
        <f t="shared" si="96"/>
        <v>-60.016413459277487</v>
      </c>
      <c r="F795" s="1">
        <f t="shared" si="102"/>
        <v>83.093964294136896</v>
      </c>
      <c r="G795" s="9">
        <f t="shared" si="98"/>
        <v>0</v>
      </c>
      <c r="H795" s="9">
        <f t="shared" si="99"/>
        <v>80</v>
      </c>
      <c r="I795" s="9">
        <f t="shared" si="100"/>
        <v>1.8563785764821374</v>
      </c>
      <c r="J795" s="9">
        <f t="shared" si="101"/>
        <v>1.2375857176547584</v>
      </c>
      <c r="K795" s="1">
        <f t="shared" si="103"/>
        <v>83.093964294136896</v>
      </c>
      <c r="L795" s="1"/>
      <c r="M795" s="3"/>
      <c r="N795" s="3"/>
      <c r="O795" s="3"/>
      <c r="P795" s="3"/>
      <c r="Q795" s="3"/>
      <c r="R795" s="1"/>
    </row>
    <row r="796" spans="2:18" x14ac:dyDescent="0.2">
      <c r="B796">
        <v>784</v>
      </c>
      <c r="C796" s="1">
        <v>0.81921889724210395</v>
      </c>
      <c r="D796" s="1">
        <f t="shared" si="97"/>
        <v>143.55260082891013</v>
      </c>
      <c r="E796" s="18">
        <f t="shared" si="96"/>
        <v>-60.016413459277487</v>
      </c>
      <c r="F796" s="1">
        <f t="shared" si="102"/>
        <v>83.536187369632643</v>
      </c>
      <c r="G796" s="9">
        <f t="shared" si="98"/>
        <v>0</v>
      </c>
      <c r="H796" s="9">
        <f t="shared" si="99"/>
        <v>80</v>
      </c>
      <c r="I796" s="9">
        <f t="shared" si="100"/>
        <v>2.1217124217795855</v>
      </c>
      <c r="J796" s="9">
        <f t="shared" si="101"/>
        <v>1.4144749478530572</v>
      </c>
      <c r="K796" s="1">
        <f t="shared" si="103"/>
        <v>83.536187369632643</v>
      </c>
      <c r="L796" s="1"/>
      <c r="M796" s="3"/>
      <c r="N796" s="3"/>
      <c r="O796" s="3"/>
      <c r="P796" s="3"/>
      <c r="Q796" s="3"/>
      <c r="R796" s="1"/>
    </row>
    <row r="797" spans="2:18" x14ac:dyDescent="0.2">
      <c r="B797">
        <v>785</v>
      </c>
      <c r="C797" s="1">
        <v>0.82097831346573591</v>
      </c>
      <c r="D797" s="1">
        <f t="shared" si="97"/>
        <v>143.70422210921751</v>
      </c>
      <c r="E797" s="18">
        <f t="shared" si="96"/>
        <v>-60.016413459277487</v>
      </c>
      <c r="F797" s="1">
        <f t="shared" si="102"/>
        <v>83.687808649940024</v>
      </c>
      <c r="G797" s="9">
        <f t="shared" si="98"/>
        <v>0</v>
      </c>
      <c r="H797" s="9">
        <f t="shared" si="99"/>
        <v>80</v>
      </c>
      <c r="I797" s="9">
        <f t="shared" si="100"/>
        <v>2.2126851899640143</v>
      </c>
      <c r="J797" s="9">
        <f t="shared" si="101"/>
        <v>1.4751234599760097</v>
      </c>
      <c r="K797" s="1">
        <f t="shared" si="103"/>
        <v>83.687808649940024</v>
      </c>
      <c r="L797" s="1"/>
      <c r="M797" s="3"/>
      <c r="N797" s="3"/>
      <c r="O797" s="3"/>
      <c r="P797" s="3"/>
      <c r="Q797" s="3"/>
      <c r="R797" s="1"/>
    </row>
    <row r="798" spans="2:18" x14ac:dyDescent="0.2">
      <c r="B798">
        <v>786</v>
      </c>
      <c r="C798" s="1">
        <v>0.82353318501513961</v>
      </c>
      <c r="D798" s="1">
        <f t="shared" si="97"/>
        <v>143.9246785345598</v>
      </c>
      <c r="E798" s="18">
        <f t="shared" si="96"/>
        <v>-60.016413459277487</v>
      </c>
      <c r="F798" s="1">
        <f t="shared" si="102"/>
        <v>83.908265075282316</v>
      </c>
      <c r="G798" s="9">
        <f t="shared" si="98"/>
        <v>0</v>
      </c>
      <c r="H798" s="9">
        <f t="shared" si="99"/>
        <v>80</v>
      </c>
      <c r="I798" s="9">
        <f t="shared" si="100"/>
        <v>2.3449590451693894</v>
      </c>
      <c r="J798" s="9">
        <f t="shared" si="101"/>
        <v>1.5633060301129262</v>
      </c>
      <c r="K798" s="1">
        <f t="shared" si="103"/>
        <v>83.908265075282316</v>
      </c>
      <c r="L798" s="1"/>
      <c r="M798" s="3"/>
      <c r="N798" s="3"/>
      <c r="O798" s="3"/>
      <c r="P798" s="3"/>
      <c r="Q798" s="3"/>
      <c r="R798" s="1"/>
    </row>
    <row r="799" spans="2:18" x14ac:dyDescent="0.2">
      <c r="B799">
        <v>787</v>
      </c>
      <c r="C799" s="1">
        <v>0.82786435063803399</v>
      </c>
      <c r="D799" s="1">
        <f t="shared" si="97"/>
        <v>144.29918190661283</v>
      </c>
      <c r="E799" s="18">
        <f t="shared" si="96"/>
        <v>-60.016413459277487</v>
      </c>
      <c r="F799" s="1">
        <f t="shared" si="102"/>
        <v>84.282768447335343</v>
      </c>
      <c r="G799" s="9">
        <f t="shared" si="98"/>
        <v>0</v>
      </c>
      <c r="H799" s="9">
        <f t="shared" si="99"/>
        <v>80</v>
      </c>
      <c r="I799" s="9">
        <f t="shared" si="100"/>
        <v>2.5696610684012056</v>
      </c>
      <c r="J799" s="9">
        <f t="shared" si="101"/>
        <v>1.7131073789341373</v>
      </c>
      <c r="K799" s="1">
        <f t="shared" si="103"/>
        <v>84.282768447335343</v>
      </c>
      <c r="L799" s="1"/>
      <c r="M799" s="3"/>
      <c r="N799" s="3"/>
      <c r="O799" s="3"/>
      <c r="P799" s="3"/>
      <c r="Q799" s="3"/>
      <c r="R799" s="1"/>
    </row>
    <row r="800" spans="2:18" x14ac:dyDescent="0.2">
      <c r="B800">
        <v>788</v>
      </c>
      <c r="C800" s="1">
        <v>0.82972708690324704</v>
      </c>
      <c r="D800" s="1">
        <f t="shared" si="97"/>
        <v>144.46054685542521</v>
      </c>
      <c r="E800" s="18">
        <f t="shared" si="96"/>
        <v>-60.016413459277487</v>
      </c>
      <c r="F800" s="1">
        <f t="shared" si="102"/>
        <v>84.44413339614772</v>
      </c>
      <c r="G800" s="9">
        <f t="shared" si="98"/>
        <v>0</v>
      </c>
      <c r="H800" s="9">
        <f t="shared" si="99"/>
        <v>80</v>
      </c>
      <c r="I800" s="9">
        <f t="shared" si="100"/>
        <v>2.6664800376886317</v>
      </c>
      <c r="J800" s="9">
        <f t="shared" si="101"/>
        <v>1.7776533584590881</v>
      </c>
      <c r="K800" s="1">
        <f t="shared" si="103"/>
        <v>84.44413339614772</v>
      </c>
      <c r="L800" s="1"/>
      <c r="M800" s="3"/>
      <c r="N800" s="3"/>
      <c r="O800" s="3"/>
      <c r="P800" s="3"/>
      <c r="Q800" s="3"/>
      <c r="R800" s="1"/>
    </row>
    <row r="801" spans="2:18" x14ac:dyDescent="0.2">
      <c r="B801">
        <v>789</v>
      </c>
      <c r="C801" s="1">
        <v>0.83035497316643669</v>
      </c>
      <c r="D801" s="1">
        <f t="shared" si="97"/>
        <v>144.51497998389155</v>
      </c>
      <c r="E801" s="18">
        <f t="shared" si="96"/>
        <v>-60.016413459277487</v>
      </c>
      <c r="F801" s="1">
        <f t="shared" si="102"/>
        <v>84.498566524614063</v>
      </c>
      <c r="G801" s="9">
        <f t="shared" si="98"/>
        <v>0</v>
      </c>
      <c r="H801" s="9">
        <f t="shared" si="99"/>
        <v>80</v>
      </c>
      <c r="I801" s="9">
        <f t="shared" si="100"/>
        <v>2.6991399147684376</v>
      </c>
      <c r="J801" s="9">
        <f t="shared" si="101"/>
        <v>1.7994266098456251</v>
      </c>
      <c r="K801" s="1">
        <f t="shared" si="103"/>
        <v>84.498566524614063</v>
      </c>
      <c r="L801" s="1"/>
      <c r="M801" s="3"/>
      <c r="N801" s="3"/>
      <c r="O801" s="3"/>
      <c r="P801" s="3"/>
      <c r="Q801" s="3"/>
      <c r="R801" s="1"/>
    </row>
    <row r="802" spans="2:18" x14ac:dyDescent="0.2">
      <c r="B802">
        <v>790</v>
      </c>
      <c r="C802" s="1">
        <v>0.83122264817901503</v>
      </c>
      <c r="D802" s="1">
        <f t="shared" si="97"/>
        <v>144.5902347934524</v>
      </c>
      <c r="E802" s="18">
        <f t="shared" si="96"/>
        <v>-60.016413459277487</v>
      </c>
      <c r="F802" s="1">
        <f t="shared" si="102"/>
        <v>84.573821334174909</v>
      </c>
      <c r="G802" s="9">
        <f t="shared" si="98"/>
        <v>0</v>
      </c>
      <c r="H802" s="9">
        <f t="shared" si="99"/>
        <v>80</v>
      </c>
      <c r="I802" s="9">
        <f t="shared" si="100"/>
        <v>2.7442928005049452</v>
      </c>
      <c r="J802" s="9">
        <f t="shared" si="101"/>
        <v>1.8295285336699636</v>
      </c>
      <c r="K802" s="1">
        <f t="shared" si="103"/>
        <v>84.573821334174909</v>
      </c>
      <c r="L802" s="1"/>
      <c r="M802" s="3"/>
      <c r="N802" s="3"/>
      <c r="O802" s="3"/>
      <c r="P802" s="3"/>
      <c r="Q802" s="3"/>
      <c r="R802" s="1"/>
    </row>
    <row r="803" spans="2:18" x14ac:dyDescent="0.2">
      <c r="B803">
        <v>791</v>
      </c>
      <c r="C803" s="1">
        <v>0.83487095918481402</v>
      </c>
      <c r="D803" s="1">
        <f t="shared" si="97"/>
        <v>144.90708754710477</v>
      </c>
      <c r="E803" s="18">
        <f t="shared" si="96"/>
        <v>-60.016413459277487</v>
      </c>
      <c r="F803" s="1">
        <f t="shared" si="102"/>
        <v>84.890674087827279</v>
      </c>
      <c r="G803" s="9">
        <f t="shared" si="98"/>
        <v>0</v>
      </c>
      <c r="H803" s="9">
        <f t="shared" si="99"/>
        <v>80</v>
      </c>
      <c r="I803" s="9">
        <f t="shared" si="100"/>
        <v>2.9344044526963668</v>
      </c>
      <c r="J803" s="9">
        <f t="shared" si="101"/>
        <v>1.9562696351309115</v>
      </c>
      <c r="K803" s="1">
        <f t="shared" si="103"/>
        <v>84.890674087827279</v>
      </c>
      <c r="L803" s="1"/>
      <c r="M803" s="3"/>
      <c r="N803" s="3"/>
      <c r="O803" s="3"/>
      <c r="P803" s="3"/>
      <c r="Q803" s="3"/>
      <c r="R803" s="1"/>
    </row>
    <row r="804" spans="2:18" x14ac:dyDescent="0.2">
      <c r="B804">
        <v>792</v>
      </c>
      <c r="C804" s="1">
        <v>0.83599194928263243</v>
      </c>
      <c r="D804" s="1">
        <f t="shared" si="97"/>
        <v>145.00458397733553</v>
      </c>
      <c r="E804" s="18">
        <f t="shared" si="96"/>
        <v>-60.016413459277487</v>
      </c>
      <c r="F804" s="1">
        <f t="shared" si="102"/>
        <v>84.988170518058041</v>
      </c>
      <c r="G804" s="9">
        <f t="shared" si="98"/>
        <v>0</v>
      </c>
      <c r="H804" s="9">
        <f t="shared" si="99"/>
        <v>80</v>
      </c>
      <c r="I804" s="9">
        <f t="shared" si="100"/>
        <v>2.9929023108348245</v>
      </c>
      <c r="J804" s="9">
        <f t="shared" si="101"/>
        <v>1.9952682072232166</v>
      </c>
      <c r="K804" s="1">
        <f t="shared" si="103"/>
        <v>84.988170518058041</v>
      </c>
      <c r="L804" s="1"/>
      <c r="M804" s="3"/>
      <c r="N804" s="3"/>
      <c r="O804" s="3"/>
      <c r="P804" s="3"/>
      <c r="Q804" s="3"/>
      <c r="R804" s="1"/>
    </row>
    <row r="805" spans="2:18" x14ac:dyDescent="0.2">
      <c r="B805">
        <v>793</v>
      </c>
      <c r="C805" s="1">
        <v>0.83624929410587745</v>
      </c>
      <c r="D805" s="1">
        <f t="shared" si="97"/>
        <v>145.02697541340711</v>
      </c>
      <c r="E805" s="18">
        <f t="shared" si="96"/>
        <v>-60.016413459277487</v>
      </c>
      <c r="F805" s="1">
        <f t="shared" si="102"/>
        <v>85.010561954129628</v>
      </c>
      <c r="G805" s="9">
        <f t="shared" si="98"/>
        <v>0</v>
      </c>
      <c r="H805" s="9">
        <f t="shared" si="99"/>
        <v>80</v>
      </c>
      <c r="I805" s="9">
        <f t="shared" si="100"/>
        <v>3.0063371724777768</v>
      </c>
      <c r="J805" s="9">
        <f t="shared" si="101"/>
        <v>2.004224781651851</v>
      </c>
      <c r="K805" s="1">
        <f t="shared" si="103"/>
        <v>85.010561954129628</v>
      </c>
      <c r="L805" s="1"/>
      <c r="M805" s="3"/>
      <c r="N805" s="3"/>
      <c r="O805" s="3"/>
      <c r="P805" s="3"/>
      <c r="Q805" s="3"/>
      <c r="R805" s="1"/>
    </row>
    <row r="806" spans="2:18" x14ac:dyDescent="0.2">
      <c r="B806">
        <v>794</v>
      </c>
      <c r="C806" s="1">
        <v>0.84120750363313401</v>
      </c>
      <c r="D806" s="1">
        <f t="shared" si="97"/>
        <v>145.45906228663432</v>
      </c>
      <c r="E806" s="18">
        <f t="shared" si="96"/>
        <v>-60.016413459277487</v>
      </c>
      <c r="F806" s="1">
        <f t="shared" si="102"/>
        <v>85.442648827356834</v>
      </c>
      <c r="G806" s="9">
        <f t="shared" si="98"/>
        <v>0</v>
      </c>
      <c r="H806" s="9">
        <f t="shared" si="99"/>
        <v>80</v>
      </c>
      <c r="I806" s="9">
        <f t="shared" si="100"/>
        <v>3.2655892964141002</v>
      </c>
      <c r="J806" s="9">
        <f t="shared" si="101"/>
        <v>2.1770595309427336</v>
      </c>
      <c r="K806" s="1">
        <f t="shared" si="103"/>
        <v>85.442648827356834</v>
      </c>
      <c r="L806" s="1"/>
      <c r="M806" s="3"/>
      <c r="N806" s="3"/>
      <c r="O806" s="3"/>
      <c r="P806" s="3"/>
      <c r="Q806" s="3"/>
      <c r="R806" s="1"/>
    </row>
    <row r="807" spans="2:18" x14ac:dyDescent="0.2">
      <c r="B807">
        <v>795</v>
      </c>
      <c r="C807" s="1">
        <v>0.8506944527737581</v>
      </c>
      <c r="D807" s="1">
        <f t="shared" si="97"/>
        <v>146.28940089428218</v>
      </c>
      <c r="E807" s="18">
        <f t="shared" si="96"/>
        <v>-60.016413459277487</v>
      </c>
      <c r="F807" s="1">
        <f t="shared" si="102"/>
        <v>86.272987435004694</v>
      </c>
      <c r="G807" s="9">
        <f t="shared" si="98"/>
        <v>0</v>
      </c>
      <c r="H807" s="9">
        <f t="shared" si="99"/>
        <v>80</v>
      </c>
      <c r="I807" s="9">
        <f t="shared" si="100"/>
        <v>3.7637924610028164</v>
      </c>
      <c r="J807" s="9">
        <f t="shared" si="101"/>
        <v>2.5091949740018777</v>
      </c>
      <c r="K807" s="1">
        <f t="shared" si="103"/>
        <v>86.272987435004694</v>
      </c>
      <c r="L807" s="1"/>
      <c r="M807" s="3"/>
      <c r="N807" s="3"/>
      <c r="O807" s="3"/>
      <c r="P807" s="3"/>
      <c r="Q807" s="3"/>
      <c r="R807" s="1"/>
    </row>
    <row r="808" spans="2:18" x14ac:dyDescent="0.2">
      <c r="B808">
        <v>796</v>
      </c>
      <c r="C808" s="1">
        <v>0.85536228926725344</v>
      </c>
      <c r="D808" s="1">
        <f t="shared" si="97"/>
        <v>146.69968817473912</v>
      </c>
      <c r="E808" s="18">
        <f t="shared" si="96"/>
        <v>-60.016413459277487</v>
      </c>
      <c r="F808" s="1">
        <f t="shared" si="102"/>
        <v>86.683274715461636</v>
      </c>
      <c r="G808" s="9">
        <f t="shared" si="98"/>
        <v>0</v>
      </c>
      <c r="H808" s="9">
        <f t="shared" si="99"/>
        <v>80</v>
      </c>
      <c r="I808" s="9">
        <f t="shared" si="100"/>
        <v>4.0099648292769814</v>
      </c>
      <c r="J808" s="9">
        <f t="shared" si="101"/>
        <v>2.6733098861846543</v>
      </c>
      <c r="K808" s="1">
        <f t="shared" si="103"/>
        <v>86.683274715461636</v>
      </c>
      <c r="L808" s="1"/>
      <c r="M808" s="3"/>
      <c r="N808" s="3"/>
      <c r="O808" s="3"/>
      <c r="P808" s="3"/>
      <c r="Q808" s="3"/>
      <c r="R808" s="1"/>
    </row>
    <row r="809" spans="2:18" x14ac:dyDescent="0.2">
      <c r="B809">
        <v>797</v>
      </c>
      <c r="C809" s="1">
        <v>0.85956928229889917</v>
      </c>
      <c r="D809" s="1">
        <f t="shared" si="97"/>
        <v>147.07045466102028</v>
      </c>
      <c r="E809" s="18">
        <f t="shared" si="96"/>
        <v>-60.016413459277487</v>
      </c>
      <c r="F809" s="1">
        <f t="shared" si="102"/>
        <v>87.054041201742791</v>
      </c>
      <c r="G809" s="9">
        <f t="shared" si="98"/>
        <v>0</v>
      </c>
      <c r="H809" s="9">
        <f t="shared" si="99"/>
        <v>80</v>
      </c>
      <c r="I809" s="9">
        <f t="shared" si="100"/>
        <v>4.2324247210456747</v>
      </c>
      <c r="J809" s="9">
        <f t="shared" si="101"/>
        <v>2.8216164806971165</v>
      </c>
      <c r="K809" s="1">
        <f t="shared" si="103"/>
        <v>87.054041201742791</v>
      </c>
      <c r="L809" s="1"/>
      <c r="M809" s="3"/>
      <c r="N809" s="3"/>
      <c r="O809" s="3"/>
      <c r="P809" s="3"/>
      <c r="Q809" s="3"/>
      <c r="R809" s="1"/>
    </row>
    <row r="810" spans="2:18" x14ac:dyDescent="0.2">
      <c r="B810">
        <v>798</v>
      </c>
      <c r="C810" s="1">
        <v>0.8622379579287992</v>
      </c>
      <c r="D810" s="1">
        <f t="shared" si="97"/>
        <v>147.30613329855666</v>
      </c>
      <c r="E810" s="18">
        <f t="shared" si="96"/>
        <v>-60.016413459277487</v>
      </c>
      <c r="F810" s="1">
        <f t="shared" si="102"/>
        <v>87.289719839279172</v>
      </c>
      <c r="G810" s="9">
        <f t="shared" si="98"/>
        <v>0</v>
      </c>
      <c r="H810" s="9">
        <f t="shared" si="99"/>
        <v>80</v>
      </c>
      <c r="I810" s="9">
        <f t="shared" si="100"/>
        <v>4.3738319035675035</v>
      </c>
      <c r="J810" s="9">
        <f t="shared" si="101"/>
        <v>2.9158879357116692</v>
      </c>
      <c r="K810" s="1">
        <f t="shared" si="103"/>
        <v>87.289719839279172</v>
      </c>
      <c r="L810" s="1"/>
      <c r="M810" s="3"/>
      <c r="N810" s="3"/>
      <c r="O810" s="3"/>
      <c r="P810" s="3"/>
      <c r="Q810" s="3"/>
      <c r="R810" s="1"/>
    </row>
    <row r="811" spans="2:18" x14ac:dyDescent="0.2">
      <c r="B811">
        <v>799</v>
      </c>
      <c r="C811" s="1">
        <v>0.8629772827272415</v>
      </c>
      <c r="D811" s="1">
        <f t="shared" si="97"/>
        <v>147.37149204027261</v>
      </c>
      <c r="E811" s="18">
        <f t="shared" si="96"/>
        <v>-60.016413459277487</v>
      </c>
      <c r="F811" s="1">
        <f t="shared" si="102"/>
        <v>87.355078580995126</v>
      </c>
      <c r="G811" s="9">
        <f t="shared" si="98"/>
        <v>0</v>
      </c>
      <c r="H811" s="9">
        <f t="shared" si="99"/>
        <v>80</v>
      </c>
      <c r="I811" s="9">
        <f t="shared" si="100"/>
        <v>4.4130471485970757</v>
      </c>
      <c r="J811" s="9">
        <f t="shared" si="101"/>
        <v>2.9420314323980508</v>
      </c>
      <c r="K811" s="1">
        <f t="shared" si="103"/>
        <v>87.355078580995126</v>
      </c>
      <c r="L811" s="1"/>
      <c r="M811" s="3"/>
      <c r="N811" s="3"/>
      <c r="O811" s="3"/>
      <c r="P811" s="3"/>
      <c r="Q811" s="3"/>
      <c r="R811" s="1"/>
    </row>
    <row r="812" spans="2:18" x14ac:dyDescent="0.2">
      <c r="B812">
        <v>800</v>
      </c>
      <c r="C812" s="1">
        <v>0.86302590829589598</v>
      </c>
      <c r="D812" s="1">
        <f t="shared" si="97"/>
        <v>147.37579171655693</v>
      </c>
      <c r="E812" s="18">
        <f t="shared" si="96"/>
        <v>-60.016413459277487</v>
      </c>
      <c r="F812" s="1">
        <f t="shared" si="102"/>
        <v>87.359378257279445</v>
      </c>
      <c r="G812" s="9">
        <f t="shared" si="98"/>
        <v>0</v>
      </c>
      <c r="H812" s="9">
        <f t="shared" si="99"/>
        <v>80</v>
      </c>
      <c r="I812" s="9">
        <f t="shared" si="100"/>
        <v>4.4156269543676672</v>
      </c>
      <c r="J812" s="9">
        <f t="shared" si="101"/>
        <v>2.9437513029117781</v>
      </c>
      <c r="K812" s="1">
        <f t="shared" si="103"/>
        <v>87.359378257279445</v>
      </c>
      <c r="L812" s="1"/>
      <c r="M812" s="3"/>
      <c r="N812" s="3"/>
      <c r="O812" s="3"/>
      <c r="P812" s="3"/>
      <c r="Q812" s="3"/>
      <c r="R812" s="1"/>
    </row>
    <row r="813" spans="2:18" x14ac:dyDescent="0.2">
      <c r="B813">
        <v>801</v>
      </c>
      <c r="C813" s="1">
        <v>0.8631982293532714</v>
      </c>
      <c r="D813" s="1">
        <f t="shared" si="97"/>
        <v>147.39103007566649</v>
      </c>
      <c r="E813" s="18">
        <f t="shared" si="96"/>
        <v>-60.016413459277487</v>
      </c>
      <c r="F813" s="1">
        <f t="shared" si="102"/>
        <v>87.374616616389005</v>
      </c>
      <c r="G813" s="9">
        <f t="shared" si="98"/>
        <v>0</v>
      </c>
      <c r="H813" s="9">
        <f t="shared" si="99"/>
        <v>80</v>
      </c>
      <c r="I813" s="9">
        <f t="shared" si="100"/>
        <v>4.4247699698334033</v>
      </c>
      <c r="J813" s="9">
        <f t="shared" si="101"/>
        <v>2.9498466465556024</v>
      </c>
      <c r="K813" s="1">
        <f t="shared" si="103"/>
        <v>87.374616616389005</v>
      </c>
      <c r="L813" s="1"/>
      <c r="M813" s="3"/>
      <c r="N813" s="3"/>
      <c r="O813" s="3"/>
      <c r="P813" s="3"/>
      <c r="Q813" s="3"/>
      <c r="R813" s="1"/>
    </row>
    <row r="814" spans="2:18" x14ac:dyDescent="0.2">
      <c r="B814">
        <v>802</v>
      </c>
      <c r="C814" s="1">
        <v>0.86650403466624504</v>
      </c>
      <c r="D814" s="1">
        <f t="shared" si="97"/>
        <v>147.68366783094419</v>
      </c>
      <c r="E814" s="18">
        <f t="shared" si="96"/>
        <v>-60.016413459277487</v>
      </c>
      <c r="F814" s="1">
        <f t="shared" si="102"/>
        <v>87.667254371666701</v>
      </c>
      <c r="G814" s="9">
        <f t="shared" si="98"/>
        <v>0</v>
      </c>
      <c r="H814" s="9">
        <f t="shared" si="99"/>
        <v>80</v>
      </c>
      <c r="I814" s="9">
        <f t="shared" si="100"/>
        <v>4.6003526230000205</v>
      </c>
      <c r="J814" s="9">
        <f t="shared" si="101"/>
        <v>3.0669017486666803</v>
      </c>
      <c r="K814" s="1">
        <f t="shared" si="103"/>
        <v>87.667254371666701</v>
      </c>
      <c r="L814" s="1"/>
      <c r="M814" s="3"/>
      <c r="N814" s="3"/>
      <c r="O814" s="3"/>
      <c r="P814" s="3"/>
      <c r="Q814" s="3"/>
      <c r="R814" s="1"/>
    </row>
    <row r="815" spans="2:18" x14ac:dyDescent="0.2">
      <c r="B815">
        <v>803</v>
      </c>
      <c r="C815" s="1">
        <v>0.87102009294740346</v>
      </c>
      <c r="D815" s="1">
        <f t="shared" si="97"/>
        <v>148.08437930734581</v>
      </c>
      <c r="E815" s="18">
        <f t="shared" si="96"/>
        <v>-60.016413459277487</v>
      </c>
      <c r="F815" s="1">
        <f t="shared" si="102"/>
        <v>88.067965848068326</v>
      </c>
      <c r="G815" s="9">
        <f t="shared" si="98"/>
        <v>0</v>
      </c>
      <c r="H815" s="9">
        <f t="shared" si="99"/>
        <v>80</v>
      </c>
      <c r="I815" s="9">
        <f t="shared" si="100"/>
        <v>4.8407795088409955</v>
      </c>
      <c r="J815" s="9">
        <f t="shared" si="101"/>
        <v>3.2271863392273303</v>
      </c>
      <c r="K815" s="1">
        <f t="shared" si="103"/>
        <v>88.067965848068326</v>
      </c>
      <c r="L815" s="1"/>
      <c r="M815" s="3"/>
      <c r="N815" s="3"/>
      <c r="O815" s="3"/>
      <c r="P815" s="3"/>
      <c r="Q815" s="3"/>
      <c r="R815" s="1"/>
    </row>
    <row r="816" spans="2:18" x14ac:dyDescent="0.2">
      <c r="B816">
        <v>804</v>
      </c>
      <c r="C816" s="1">
        <v>0.87343397460568761</v>
      </c>
      <c r="D816" s="1">
        <f t="shared" si="97"/>
        <v>148.29900959771683</v>
      </c>
      <c r="E816" s="18">
        <f t="shared" si="96"/>
        <v>-60.016413459277487</v>
      </c>
      <c r="F816" s="1">
        <f t="shared" si="102"/>
        <v>88.282596138439345</v>
      </c>
      <c r="G816" s="9">
        <f t="shared" si="98"/>
        <v>0</v>
      </c>
      <c r="H816" s="9">
        <f t="shared" si="99"/>
        <v>80</v>
      </c>
      <c r="I816" s="9">
        <f t="shared" si="100"/>
        <v>4.9695576830636066</v>
      </c>
      <c r="J816" s="9">
        <f t="shared" si="101"/>
        <v>3.3130384553757382</v>
      </c>
      <c r="K816" s="1">
        <f t="shared" si="103"/>
        <v>88.282596138439345</v>
      </c>
      <c r="L816" s="1"/>
      <c r="M816" s="3"/>
      <c r="N816" s="3"/>
      <c r="O816" s="3"/>
      <c r="P816" s="3"/>
      <c r="Q816" s="3"/>
      <c r="R816" s="1"/>
    </row>
    <row r="817" spans="2:18" x14ac:dyDescent="0.2">
      <c r="B817">
        <v>805</v>
      </c>
      <c r="C817" s="1">
        <v>0.88388844917095</v>
      </c>
      <c r="D817" s="1">
        <f t="shared" si="97"/>
        <v>149.23216617084282</v>
      </c>
      <c r="E817" s="18">
        <f t="shared" si="96"/>
        <v>-60.016413459277487</v>
      </c>
      <c r="F817" s="1">
        <f t="shared" si="102"/>
        <v>89.215752711565329</v>
      </c>
      <c r="G817" s="9">
        <f t="shared" si="98"/>
        <v>0</v>
      </c>
      <c r="H817" s="9">
        <f t="shared" si="99"/>
        <v>80</v>
      </c>
      <c r="I817" s="9">
        <f t="shared" si="100"/>
        <v>5.5294516269391973</v>
      </c>
      <c r="J817" s="9">
        <f t="shared" si="101"/>
        <v>3.6863010846261322</v>
      </c>
      <c r="K817" s="1">
        <f t="shared" si="103"/>
        <v>89.215752711565329</v>
      </c>
      <c r="L817" s="1"/>
      <c r="M817" s="3"/>
      <c r="N817" s="3"/>
      <c r="O817" s="3"/>
      <c r="P817" s="3"/>
      <c r="Q817" s="3"/>
      <c r="R817" s="1"/>
    </row>
    <row r="818" spans="2:18" x14ac:dyDescent="0.2">
      <c r="B818">
        <v>806</v>
      </c>
      <c r="C818" s="1">
        <v>0.89170986428416554</v>
      </c>
      <c r="D818" s="1">
        <f t="shared" si="97"/>
        <v>149.93413603379139</v>
      </c>
      <c r="E818" s="18">
        <f t="shared" si="96"/>
        <v>-60.016413459277487</v>
      </c>
      <c r="F818" s="1">
        <f t="shared" si="102"/>
        <v>89.917722574513903</v>
      </c>
      <c r="G818" s="9">
        <f t="shared" si="98"/>
        <v>0</v>
      </c>
      <c r="H818" s="9">
        <f t="shared" si="99"/>
        <v>80</v>
      </c>
      <c r="I818" s="9">
        <f t="shared" si="100"/>
        <v>5.9506335447083414</v>
      </c>
      <c r="J818" s="9">
        <f t="shared" si="101"/>
        <v>3.9670890298055612</v>
      </c>
      <c r="K818" s="1">
        <f t="shared" si="103"/>
        <v>89.917722574513903</v>
      </c>
      <c r="L818" s="1"/>
      <c r="M818" s="3"/>
      <c r="N818" s="3"/>
      <c r="O818" s="3"/>
      <c r="P818" s="3"/>
      <c r="Q818" s="3"/>
      <c r="R818" s="1"/>
    </row>
    <row r="819" spans="2:18" x14ac:dyDescent="0.2">
      <c r="B819">
        <v>807</v>
      </c>
      <c r="C819" s="1">
        <v>0.89275521959980952</v>
      </c>
      <c r="D819" s="1">
        <f t="shared" si="97"/>
        <v>150.02820619939141</v>
      </c>
      <c r="E819" s="18">
        <f t="shared" si="96"/>
        <v>-60.016413459277487</v>
      </c>
      <c r="F819" s="1">
        <f t="shared" si="102"/>
        <v>90.011792740113918</v>
      </c>
      <c r="G819" s="9">
        <f t="shared" si="98"/>
        <v>0</v>
      </c>
      <c r="H819" s="9">
        <f t="shared" si="99"/>
        <v>80</v>
      </c>
      <c r="I819" s="9">
        <f t="shared" si="100"/>
        <v>6.007075644068351</v>
      </c>
      <c r="J819" s="9">
        <f t="shared" si="101"/>
        <v>4.0047170960455674</v>
      </c>
      <c r="K819" s="1">
        <f t="shared" si="103"/>
        <v>90.011792740113918</v>
      </c>
      <c r="L819" s="1"/>
      <c r="M819" s="3"/>
      <c r="N819" s="3"/>
      <c r="O819" s="3"/>
      <c r="P819" s="3"/>
      <c r="Q819" s="3"/>
      <c r="R819" s="1"/>
    </row>
    <row r="820" spans="2:18" x14ac:dyDescent="0.2">
      <c r="B820">
        <v>808</v>
      </c>
      <c r="C820" s="1">
        <v>0.89496577486643158</v>
      </c>
      <c r="D820" s="1">
        <f t="shared" si="97"/>
        <v>150.22732560434952</v>
      </c>
      <c r="E820" s="18">
        <f t="shared" si="96"/>
        <v>-60.016413459277487</v>
      </c>
      <c r="F820" s="1">
        <f t="shared" si="102"/>
        <v>90.210912145072029</v>
      </c>
      <c r="G820" s="9">
        <f t="shared" si="98"/>
        <v>0</v>
      </c>
      <c r="H820" s="9">
        <f t="shared" si="99"/>
        <v>80</v>
      </c>
      <c r="I820" s="9">
        <f t="shared" si="100"/>
        <v>6.1265472870432172</v>
      </c>
      <c r="J820" s="9">
        <f t="shared" si="101"/>
        <v>4.0843648580288123</v>
      </c>
      <c r="K820" s="1">
        <f t="shared" si="103"/>
        <v>90.210912145072029</v>
      </c>
      <c r="L820" s="1"/>
      <c r="M820" s="3"/>
      <c r="N820" s="3"/>
      <c r="O820" s="3"/>
      <c r="P820" s="3"/>
      <c r="Q820" s="3"/>
      <c r="R820" s="1"/>
    </row>
    <row r="821" spans="2:18" x14ac:dyDescent="0.2">
      <c r="B821">
        <v>809</v>
      </c>
      <c r="C821" s="1">
        <v>0.90019707601501908</v>
      </c>
      <c r="D821" s="1">
        <f t="shared" si="97"/>
        <v>150.699597023412</v>
      </c>
      <c r="E821" s="18">
        <f t="shared" si="96"/>
        <v>-60.016413459277487</v>
      </c>
      <c r="F821" s="1">
        <f t="shared" si="102"/>
        <v>90.683183564134509</v>
      </c>
      <c r="G821" s="9">
        <f t="shared" si="98"/>
        <v>0</v>
      </c>
      <c r="H821" s="9">
        <f t="shared" si="99"/>
        <v>80</v>
      </c>
      <c r="I821" s="9">
        <f t="shared" si="100"/>
        <v>6.4099101384807051</v>
      </c>
      <c r="J821" s="9">
        <f t="shared" si="101"/>
        <v>4.2732734256538043</v>
      </c>
      <c r="K821" s="1">
        <f t="shared" si="103"/>
        <v>90.683183564134509</v>
      </c>
      <c r="L821" s="1"/>
      <c r="M821" s="3"/>
      <c r="N821" s="3"/>
      <c r="O821" s="3"/>
      <c r="P821" s="3"/>
      <c r="Q821" s="3"/>
      <c r="R821" s="1"/>
    </row>
    <row r="822" spans="2:18" x14ac:dyDescent="0.2">
      <c r="B822">
        <v>810</v>
      </c>
      <c r="C822" s="1">
        <v>0.90125913134537416</v>
      </c>
      <c r="D822" s="1">
        <f t="shared" si="97"/>
        <v>150.79565841309531</v>
      </c>
      <c r="E822" s="18">
        <f t="shared" si="96"/>
        <v>-60.016413459277487</v>
      </c>
      <c r="F822" s="1">
        <f t="shared" si="102"/>
        <v>90.779244953817823</v>
      </c>
      <c r="G822" s="9">
        <f t="shared" si="98"/>
        <v>0</v>
      </c>
      <c r="H822" s="9">
        <f t="shared" si="99"/>
        <v>80</v>
      </c>
      <c r="I822" s="9">
        <f t="shared" si="100"/>
        <v>6.4675469722906938</v>
      </c>
      <c r="J822" s="9">
        <f t="shared" si="101"/>
        <v>4.3116979815271295</v>
      </c>
      <c r="K822" s="1">
        <f t="shared" si="103"/>
        <v>90.779244953817823</v>
      </c>
      <c r="L822" s="1"/>
      <c r="M822" s="3"/>
      <c r="N822" s="3"/>
      <c r="O822" s="3"/>
      <c r="P822" s="3"/>
      <c r="Q822" s="3"/>
      <c r="R822" s="1"/>
    </row>
    <row r="823" spans="2:18" x14ac:dyDescent="0.2">
      <c r="B823">
        <v>811</v>
      </c>
      <c r="C823" s="1">
        <v>0.90498351213485939</v>
      </c>
      <c r="D823" s="1">
        <f t="shared" si="97"/>
        <v>151.1330074696167</v>
      </c>
      <c r="E823" s="18">
        <f t="shared" si="96"/>
        <v>-60.016413459277487</v>
      </c>
      <c r="F823" s="1">
        <f t="shared" si="102"/>
        <v>91.116594010339213</v>
      </c>
      <c r="G823" s="9">
        <f t="shared" si="98"/>
        <v>0</v>
      </c>
      <c r="H823" s="9">
        <f t="shared" si="99"/>
        <v>80</v>
      </c>
      <c r="I823" s="9">
        <f t="shared" si="100"/>
        <v>6.6699564062035277</v>
      </c>
      <c r="J823" s="9">
        <f t="shared" si="101"/>
        <v>4.4466376041356854</v>
      </c>
      <c r="K823" s="1">
        <f t="shared" si="103"/>
        <v>91.116594010339213</v>
      </c>
      <c r="L823" s="1"/>
      <c r="M823" s="3"/>
      <c r="N823" s="3"/>
      <c r="O823" s="3"/>
      <c r="P823" s="3"/>
      <c r="Q823" s="3"/>
      <c r="R823" s="1"/>
    </row>
    <row r="824" spans="2:18" x14ac:dyDescent="0.2">
      <c r="B824">
        <v>812</v>
      </c>
      <c r="C824" s="1">
        <v>0.906658068012972</v>
      </c>
      <c r="D824" s="1">
        <f t="shared" si="97"/>
        <v>151.28493217838144</v>
      </c>
      <c r="E824" s="18">
        <f t="shared" ref="E824:E887" si="104">-MIN(D824-F,(-IF(AND(D824&gt;=F-dis, D824&lt;F), F-D824, IF(D824&gt;=F, $E$7, 0))))</f>
        <v>-60.016413459277487</v>
      </c>
      <c r="F824" s="1">
        <f t="shared" si="102"/>
        <v>91.268518719103952</v>
      </c>
      <c r="G824" s="9">
        <f t="shared" si="98"/>
        <v>0</v>
      </c>
      <c r="H824" s="9">
        <f t="shared" si="99"/>
        <v>80</v>
      </c>
      <c r="I824" s="9">
        <f t="shared" si="100"/>
        <v>6.7611112314623707</v>
      </c>
      <c r="J824" s="9">
        <f t="shared" si="101"/>
        <v>4.5074074876415811</v>
      </c>
      <c r="K824" s="1">
        <f t="shared" si="103"/>
        <v>91.268518719103952</v>
      </c>
      <c r="L824" s="1"/>
      <c r="M824" s="3"/>
      <c r="N824" s="3"/>
      <c r="O824" s="3"/>
      <c r="P824" s="3"/>
      <c r="Q824" s="3"/>
      <c r="R824" s="1"/>
    </row>
    <row r="825" spans="2:18" x14ac:dyDescent="0.2">
      <c r="B825">
        <v>813</v>
      </c>
      <c r="C825" s="1">
        <v>0.90850729015343878</v>
      </c>
      <c r="D825" s="1">
        <f t="shared" si="97"/>
        <v>151.45288100121826</v>
      </c>
      <c r="E825" s="18">
        <f t="shared" si="104"/>
        <v>-60.016413459277487</v>
      </c>
      <c r="F825" s="1">
        <f t="shared" si="102"/>
        <v>91.436467541940772</v>
      </c>
      <c r="G825" s="9">
        <f t="shared" si="98"/>
        <v>0</v>
      </c>
      <c r="H825" s="9">
        <f t="shared" si="99"/>
        <v>80</v>
      </c>
      <c r="I825" s="9">
        <f t="shared" si="100"/>
        <v>6.8618805251644632</v>
      </c>
      <c r="J825" s="9">
        <f t="shared" si="101"/>
        <v>4.5745870167763085</v>
      </c>
      <c r="K825" s="1">
        <f t="shared" si="103"/>
        <v>91.436467541940772</v>
      </c>
      <c r="L825" s="1"/>
      <c r="M825" s="3"/>
      <c r="N825" s="3"/>
      <c r="O825" s="3"/>
      <c r="P825" s="3"/>
      <c r="Q825" s="3"/>
      <c r="R825" s="1"/>
    </row>
    <row r="826" spans="2:18" x14ac:dyDescent="0.2">
      <c r="B826">
        <v>814</v>
      </c>
      <c r="C826" s="1">
        <v>0.9102985487463251</v>
      </c>
      <c r="D826" s="1">
        <f t="shared" si="97"/>
        <v>151.61574326877877</v>
      </c>
      <c r="E826" s="18">
        <f t="shared" si="104"/>
        <v>-60.016413459277487</v>
      </c>
      <c r="F826" s="1">
        <f t="shared" si="102"/>
        <v>91.599329809501285</v>
      </c>
      <c r="G826" s="9">
        <f t="shared" si="98"/>
        <v>0</v>
      </c>
      <c r="H826" s="9">
        <f t="shared" si="99"/>
        <v>80</v>
      </c>
      <c r="I826" s="9">
        <f t="shared" si="100"/>
        <v>6.959597885700771</v>
      </c>
      <c r="J826" s="9">
        <f t="shared" si="101"/>
        <v>4.6397319238005137</v>
      </c>
      <c r="K826" s="1">
        <f t="shared" si="103"/>
        <v>91.599329809501285</v>
      </c>
      <c r="L826" s="1"/>
      <c r="M826" s="3"/>
      <c r="N826" s="3"/>
      <c r="O826" s="3"/>
      <c r="P826" s="3"/>
      <c r="Q826" s="3"/>
      <c r="R826" s="1"/>
    </row>
    <row r="827" spans="2:18" x14ac:dyDescent="0.2">
      <c r="B827">
        <v>815</v>
      </c>
      <c r="C827" s="1">
        <v>0.91532562998086531</v>
      </c>
      <c r="D827" s="1">
        <f t="shared" si="97"/>
        <v>152.07374443898175</v>
      </c>
      <c r="E827" s="18">
        <f t="shared" si="104"/>
        <v>-60.016413459277487</v>
      </c>
      <c r="F827" s="1">
        <f t="shared" si="102"/>
        <v>92.057330979704261</v>
      </c>
      <c r="G827" s="9">
        <f t="shared" si="98"/>
        <v>0</v>
      </c>
      <c r="H827" s="9">
        <f t="shared" si="99"/>
        <v>80</v>
      </c>
      <c r="I827" s="9">
        <f t="shared" si="100"/>
        <v>7.2343985878225565</v>
      </c>
      <c r="J827" s="9">
        <f t="shared" si="101"/>
        <v>4.8229323918817046</v>
      </c>
      <c r="K827" s="1">
        <f t="shared" si="103"/>
        <v>92.057330979704261</v>
      </c>
      <c r="L827" s="1"/>
      <c r="M827" s="3"/>
      <c r="N827" s="3"/>
      <c r="O827" s="3"/>
      <c r="P827" s="3"/>
      <c r="Q827" s="3"/>
      <c r="R827" s="1"/>
    </row>
    <row r="828" spans="2:18" x14ac:dyDescent="0.2">
      <c r="B828">
        <v>816</v>
      </c>
      <c r="C828" s="1">
        <v>0.91877482628978802</v>
      </c>
      <c r="D828" s="1">
        <f t="shared" si="97"/>
        <v>152.38878964116574</v>
      </c>
      <c r="E828" s="18">
        <f t="shared" si="104"/>
        <v>-60.016413459277487</v>
      </c>
      <c r="F828" s="1">
        <f t="shared" si="102"/>
        <v>92.372376181888256</v>
      </c>
      <c r="G828" s="9">
        <f t="shared" si="98"/>
        <v>0</v>
      </c>
      <c r="H828" s="9">
        <f t="shared" si="99"/>
        <v>80</v>
      </c>
      <c r="I828" s="9">
        <f t="shared" si="100"/>
        <v>7.4234257091329532</v>
      </c>
      <c r="J828" s="9">
        <f t="shared" si="101"/>
        <v>4.9489504727553033</v>
      </c>
      <c r="K828" s="1">
        <f t="shared" si="103"/>
        <v>92.372376181888256</v>
      </c>
      <c r="L828" s="1"/>
      <c r="M828" s="3"/>
      <c r="N828" s="3"/>
      <c r="O828" s="3"/>
      <c r="P828" s="3"/>
      <c r="Q828" s="3"/>
      <c r="R828" s="1"/>
    </row>
    <row r="829" spans="2:18" x14ac:dyDescent="0.2">
      <c r="B829">
        <v>817</v>
      </c>
      <c r="C829" s="1">
        <v>0.92372235106894873</v>
      </c>
      <c r="D829" s="1">
        <f t="shared" si="97"/>
        <v>152.84183012487534</v>
      </c>
      <c r="E829" s="18">
        <f t="shared" si="104"/>
        <v>-60.016413459277487</v>
      </c>
      <c r="F829" s="1">
        <f t="shared" si="102"/>
        <v>92.825416665597857</v>
      </c>
      <c r="G829" s="9">
        <f t="shared" si="98"/>
        <v>0</v>
      </c>
      <c r="H829" s="9">
        <f t="shared" si="99"/>
        <v>80</v>
      </c>
      <c r="I829" s="9">
        <f t="shared" si="100"/>
        <v>7.6952499993587136</v>
      </c>
      <c r="J829" s="9">
        <f t="shared" si="101"/>
        <v>5.130166666239143</v>
      </c>
      <c r="K829" s="1">
        <f t="shared" si="103"/>
        <v>92.825416665597857</v>
      </c>
      <c r="L829" s="1"/>
      <c r="M829" s="3"/>
      <c r="N829" s="3"/>
      <c r="O829" s="3"/>
      <c r="P829" s="3"/>
      <c r="Q829" s="3"/>
      <c r="R829" s="1"/>
    </row>
    <row r="830" spans="2:18" x14ac:dyDescent="0.2">
      <c r="B830">
        <v>818</v>
      </c>
      <c r="C830" s="1">
        <v>0.92517416999998003</v>
      </c>
      <c r="D830" s="1">
        <f t="shared" si="97"/>
        <v>152.97502732737613</v>
      </c>
      <c r="E830" s="18">
        <f t="shared" si="104"/>
        <v>-60.016413459277487</v>
      </c>
      <c r="F830" s="1">
        <f t="shared" si="102"/>
        <v>92.958613868098638</v>
      </c>
      <c r="G830" s="9">
        <f t="shared" si="98"/>
        <v>0</v>
      </c>
      <c r="H830" s="9">
        <f t="shared" si="99"/>
        <v>80</v>
      </c>
      <c r="I830" s="9">
        <f t="shared" si="100"/>
        <v>7.7751683208591826</v>
      </c>
      <c r="J830" s="9">
        <f t="shared" si="101"/>
        <v>5.1834455472394554</v>
      </c>
      <c r="K830" s="1">
        <f t="shared" si="103"/>
        <v>92.958613868098638</v>
      </c>
      <c r="L830" s="1"/>
      <c r="M830" s="3"/>
      <c r="N830" s="3"/>
      <c r="O830" s="3"/>
      <c r="P830" s="3"/>
      <c r="Q830" s="3"/>
      <c r="R830" s="1"/>
    </row>
    <row r="831" spans="2:18" x14ac:dyDescent="0.2">
      <c r="B831">
        <v>819</v>
      </c>
      <c r="C831" s="1">
        <v>0.92634043024626767</v>
      </c>
      <c r="D831" s="1">
        <f t="shared" si="97"/>
        <v>153.08211000471556</v>
      </c>
      <c r="E831" s="18">
        <f t="shared" si="104"/>
        <v>-60.016413459277487</v>
      </c>
      <c r="F831" s="1">
        <f t="shared" si="102"/>
        <v>93.065696545438072</v>
      </c>
      <c r="G831" s="9">
        <f t="shared" si="98"/>
        <v>0</v>
      </c>
      <c r="H831" s="9">
        <f t="shared" si="99"/>
        <v>80</v>
      </c>
      <c r="I831" s="9">
        <f t="shared" si="100"/>
        <v>7.8394179272628435</v>
      </c>
      <c r="J831" s="9">
        <f t="shared" si="101"/>
        <v>5.226278618175229</v>
      </c>
      <c r="K831" s="1">
        <f t="shared" si="103"/>
        <v>93.065696545438072</v>
      </c>
      <c r="L831" s="1"/>
      <c r="M831" s="3"/>
      <c r="N831" s="3"/>
      <c r="O831" s="3"/>
      <c r="P831" s="3"/>
      <c r="Q831" s="3"/>
      <c r="R831" s="1"/>
    </row>
    <row r="832" spans="2:18" x14ac:dyDescent="0.2">
      <c r="B832">
        <v>820</v>
      </c>
      <c r="C832" s="1">
        <v>0.92791630235578892</v>
      </c>
      <c r="D832" s="1">
        <f t="shared" si="97"/>
        <v>153.22692115165509</v>
      </c>
      <c r="E832" s="18">
        <f t="shared" si="104"/>
        <v>-60.016413459277487</v>
      </c>
      <c r="F832" s="1">
        <f t="shared" si="102"/>
        <v>93.210507692377604</v>
      </c>
      <c r="G832" s="9">
        <f t="shared" si="98"/>
        <v>0</v>
      </c>
      <c r="H832" s="9">
        <f t="shared" si="99"/>
        <v>80</v>
      </c>
      <c r="I832" s="9">
        <f t="shared" si="100"/>
        <v>7.9263046154265622</v>
      </c>
      <c r="J832" s="9">
        <f t="shared" si="101"/>
        <v>5.2842030769510417</v>
      </c>
      <c r="K832" s="1">
        <f t="shared" si="103"/>
        <v>93.210507692377604</v>
      </c>
      <c r="L832" s="1"/>
      <c r="M832" s="3"/>
      <c r="N832" s="3"/>
      <c r="O832" s="3"/>
      <c r="P832" s="3"/>
      <c r="Q832" s="3"/>
      <c r="R832" s="1"/>
    </row>
    <row r="833" spans="2:18" x14ac:dyDescent="0.2">
      <c r="B833">
        <v>821</v>
      </c>
      <c r="C833" s="1">
        <v>0.93077603210000792</v>
      </c>
      <c r="D833" s="1">
        <f t="shared" si="97"/>
        <v>153.49005938878889</v>
      </c>
      <c r="E833" s="18">
        <f t="shared" si="104"/>
        <v>-60.016413459277487</v>
      </c>
      <c r="F833" s="1">
        <f t="shared" si="102"/>
        <v>93.473645929511406</v>
      </c>
      <c r="G833" s="9">
        <f t="shared" si="98"/>
        <v>0</v>
      </c>
      <c r="H833" s="9">
        <f t="shared" si="99"/>
        <v>80</v>
      </c>
      <c r="I833" s="9">
        <f t="shared" si="100"/>
        <v>8.0841875577068425</v>
      </c>
      <c r="J833" s="9">
        <f t="shared" si="101"/>
        <v>5.3894583718045626</v>
      </c>
      <c r="K833" s="1">
        <f t="shared" si="103"/>
        <v>93.473645929511406</v>
      </c>
      <c r="L833" s="1"/>
      <c r="M833" s="3"/>
      <c r="N833" s="3"/>
      <c r="O833" s="3"/>
      <c r="P833" s="3"/>
      <c r="Q833" s="3"/>
      <c r="R833" s="1"/>
    </row>
    <row r="834" spans="2:18" x14ac:dyDescent="0.2">
      <c r="B834">
        <v>822</v>
      </c>
      <c r="C834" s="1">
        <v>0.93496728023138576</v>
      </c>
      <c r="D834" s="1">
        <f t="shared" si="97"/>
        <v>153.87653408327932</v>
      </c>
      <c r="E834" s="18">
        <f t="shared" si="104"/>
        <v>-60.016413459277487</v>
      </c>
      <c r="F834" s="1">
        <f t="shared" si="102"/>
        <v>93.860120624001837</v>
      </c>
      <c r="G834" s="9">
        <f t="shared" si="98"/>
        <v>0</v>
      </c>
      <c r="H834" s="9">
        <f t="shared" si="99"/>
        <v>80</v>
      </c>
      <c r="I834" s="9">
        <f t="shared" si="100"/>
        <v>8.3160723744011023</v>
      </c>
      <c r="J834" s="9">
        <f t="shared" si="101"/>
        <v>5.5440482496007348</v>
      </c>
      <c r="K834" s="1">
        <f t="shared" si="103"/>
        <v>93.860120624001837</v>
      </c>
      <c r="L834" s="1"/>
      <c r="M834" s="3"/>
      <c r="N834" s="3"/>
      <c r="O834" s="3"/>
      <c r="P834" s="3"/>
      <c r="Q834" s="3"/>
      <c r="R834" s="1"/>
    </row>
    <row r="835" spans="2:18" x14ac:dyDescent="0.2">
      <c r="B835">
        <v>823</v>
      </c>
      <c r="C835" s="1">
        <v>0.94393296476612654</v>
      </c>
      <c r="D835" s="1">
        <f t="shared" si="97"/>
        <v>154.70652960227252</v>
      </c>
      <c r="E835" s="18">
        <f t="shared" si="104"/>
        <v>-60.016413459277487</v>
      </c>
      <c r="F835" s="1">
        <f t="shared" si="102"/>
        <v>94.690116142995038</v>
      </c>
      <c r="G835" s="9">
        <f t="shared" si="98"/>
        <v>0</v>
      </c>
      <c r="H835" s="9">
        <f t="shared" si="99"/>
        <v>80</v>
      </c>
      <c r="I835" s="9">
        <f t="shared" si="100"/>
        <v>8.8140696857970227</v>
      </c>
      <c r="J835" s="9">
        <f t="shared" si="101"/>
        <v>5.8760464571980151</v>
      </c>
      <c r="K835" s="1">
        <f t="shared" si="103"/>
        <v>94.690116142995038</v>
      </c>
      <c r="L835" s="1"/>
      <c r="M835" s="3"/>
      <c r="N835" s="3"/>
      <c r="O835" s="3"/>
      <c r="P835" s="3"/>
      <c r="Q835" s="3"/>
      <c r="R835" s="1"/>
    </row>
    <row r="836" spans="2:18" x14ac:dyDescent="0.2">
      <c r="B836">
        <v>824</v>
      </c>
      <c r="C836" s="1">
        <v>0.94415101527450462</v>
      </c>
      <c r="D836" s="1">
        <f t="shared" si="97"/>
        <v>154.72677122881024</v>
      </c>
      <c r="E836" s="18">
        <f t="shared" si="104"/>
        <v>-60.016413459277487</v>
      </c>
      <c r="F836" s="1">
        <f t="shared" si="102"/>
        <v>94.710357769532749</v>
      </c>
      <c r="G836" s="9">
        <f t="shared" si="98"/>
        <v>0</v>
      </c>
      <c r="H836" s="9">
        <f t="shared" si="99"/>
        <v>80</v>
      </c>
      <c r="I836" s="9">
        <f t="shared" si="100"/>
        <v>8.8262146617196482</v>
      </c>
      <c r="J836" s="9">
        <f t="shared" si="101"/>
        <v>5.8841431078130997</v>
      </c>
      <c r="K836" s="1">
        <f t="shared" si="103"/>
        <v>94.710357769532749</v>
      </c>
      <c r="L836" s="1"/>
      <c r="M836" s="3"/>
      <c r="N836" s="3"/>
      <c r="O836" s="3"/>
      <c r="P836" s="3"/>
      <c r="Q836" s="3"/>
      <c r="R836" s="1"/>
    </row>
    <row r="837" spans="2:18" x14ac:dyDescent="0.2">
      <c r="B837">
        <v>825</v>
      </c>
      <c r="C837" s="1">
        <v>0.94554683326769429</v>
      </c>
      <c r="D837" s="1">
        <f t="shared" si="97"/>
        <v>154.85640775271645</v>
      </c>
      <c r="E837" s="18">
        <f t="shared" si="104"/>
        <v>-60.016413459277487</v>
      </c>
      <c r="F837" s="1">
        <f t="shared" si="102"/>
        <v>94.839994293438963</v>
      </c>
      <c r="G837" s="9">
        <f t="shared" si="98"/>
        <v>0</v>
      </c>
      <c r="H837" s="9">
        <f t="shared" si="99"/>
        <v>80</v>
      </c>
      <c r="I837" s="9">
        <f t="shared" si="100"/>
        <v>8.9039965760633777</v>
      </c>
      <c r="J837" s="9">
        <f t="shared" si="101"/>
        <v>5.9359977173755851</v>
      </c>
      <c r="K837" s="1">
        <f t="shared" si="103"/>
        <v>94.839994293438963</v>
      </c>
      <c r="L837" s="1"/>
      <c r="M837" s="3"/>
      <c r="N837" s="3"/>
      <c r="O837" s="3"/>
      <c r="P837" s="3"/>
      <c r="Q837" s="3"/>
      <c r="R837" s="1"/>
    </row>
    <row r="838" spans="2:18" x14ac:dyDescent="0.2">
      <c r="B838">
        <v>826</v>
      </c>
      <c r="C838" s="1">
        <v>0.94789831821312021</v>
      </c>
      <c r="D838" s="1">
        <f t="shared" si="97"/>
        <v>155.07504746176278</v>
      </c>
      <c r="E838" s="18">
        <f t="shared" si="104"/>
        <v>-60.016413459277487</v>
      </c>
      <c r="F838" s="1">
        <f t="shared" si="102"/>
        <v>95.058634002485292</v>
      </c>
      <c r="G838" s="9">
        <f t="shared" si="98"/>
        <v>0</v>
      </c>
      <c r="H838" s="9">
        <f t="shared" si="99"/>
        <v>80</v>
      </c>
      <c r="I838" s="9">
        <f t="shared" si="100"/>
        <v>9.035180401491175</v>
      </c>
      <c r="J838" s="9">
        <f t="shared" si="101"/>
        <v>6.0234536009941166</v>
      </c>
      <c r="K838" s="1">
        <f t="shared" si="103"/>
        <v>95.058634002485292</v>
      </c>
      <c r="L838" s="1"/>
      <c r="M838" s="3"/>
      <c r="N838" s="3"/>
      <c r="O838" s="3"/>
      <c r="P838" s="3"/>
      <c r="Q838" s="3"/>
      <c r="R838" s="1"/>
    </row>
    <row r="839" spans="2:18" x14ac:dyDescent="0.2">
      <c r="B839">
        <v>827</v>
      </c>
      <c r="C839" s="1">
        <v>0.94912424387938266</v>
      </c>
      <c r="D839" s="1">
        <f t="shared" si="97"/>
        <v>155.18915571161583</v>
      </c>
      <c r="E839" s="18">
        <f t="shared" si="104"/>
        <v>-60.016413459277487</v>
      </c>
      <c r="F839" s="1">
        <f t="shared" si="102"/>
        <v>95.172742252338338</v>
      </c>
      <c r="G839" s="9">
        <f t="shared" si="98"/>
        <v>0</v>
      </c>
      <c r="H839" s="9">
        <f t="shared" si="99"/>
        <v>80</v>
      </c>
      <c r="I839" s="9">
        <f t="shared" si="100"/>
        <v>9.1036453514030029</v>
      </c>
      <c r="J839" s="9">
        <f t="shared" si="101"/>
        <v>6.0690969009353353</v>
      </c>
      <c r="K839" s="1">
        <f t="shared" si="103"/>
        <v>95.172742252338338</v>
      </c>
      <c r="L839" s="1"/>
      <c r="M839" s="3"/>
      <c r="N839" s="3"/>
      <c r="O839" s="3"/>
      <c r="P839" s="3"/>
      <c r="Q839" s="3"/>
      <c r="R839" s="1"/>
    </row>
    <row r="840" spans="2:18" x14ac:dyDescent="0.2">
      <c r="B840">
        <v>828</v>
      </c>
      <c r="C840" s="1">
        <v>0.95172779233440485</v>
      </c>
      <c r="D840" s="1">
        <f t="shared" si="97"/>
        <v>155.43177065215869</v>
      </c>
      <c r="E840" s="18">
        <f t="shared" si="104"/>
        <v>-60.016413459277487</v>
      </c>
      <c r="F840" s="1">
        <f t="shared" si="102"/>
        <v>95.415357192881203</v>
      </c>
      <c r="G840" s="9">
        <f t="shared" si="98"/>
        <v>0</v>
      </c>
      <c r="H840" s="9">
        <f t="shared" si="99"/>
        <v>80</v>
      </c>
      <c r="I840" s="9">
        <f t="shared" si="100"/>
        <v>9.2492143157287217</v>
      </c>
      <c r="J840" s="9">
        <f t="shared" si="101"/>
        <v>6.1661428771524811</v>
      </c>
      <c r="K840" s="1">
        <f t="shared" si="103"/>
        <v>95.415357192881203</v>
      </c>
      <c r="L840" s="1"/>
      <c r="M840" s="3"/>
      <c r="N840" s="3"/>
      <c r="O840" s="3"/>
      <c r="P840" s="3"/>
      <c r="Q840" s="3"/>
      <c r="R840" s="1"/>
    </row>
    <row r="841" spans="2:18" x14ac:dyDescent="0.2">
      <c r="B841">
        <v>829</v>
      </c>
      <c r="C841" s="1">
        <v>0.95184483985725132</v>
      </c>
      <c r="D841" s="1">
        <f t="shared" si="97"/>
        <v>155.44268677770174</v>
      </c>
      <c r="E841" s="18">
        <f t="shared" si="104"/>
        <v>-60.016413459277487</v>
      </c>
      <c r="F841" s="1">
        <f t="shared" si="102"/>
        <v>95.426273318424251</v>
      </c>
      <c r="G841" s="9">
        <f t="shared" si="98"/>
        <v>0</v>
      </c>
      <c r="H841" s="9">
        <f t="shared" si="99"/>
        <v>80</v>
      </c>
      <c r="I841" s="9">
        <f t="shared" si="100"/>
        <v>9.2557639910545504</v>
      </c>
      <c r="J841" s="9">
        <f t="shared" si="101"/>
        <v>6.1705093273697003</v>
      </c>
      <c r="K841" s="1">
        <f t="shared" si="103"/>
        <v>95.426273318424251</v>
      </c>
      <c r="L841" s="1"/>
      <c r="M841" s="3"/>
      <c r="N841" s="3"/>
      <c r="O841" s="3"/>
      <c r="P841" s="3"/>
      <c r="Q841" s="3"/>
      <c r="R841" s="1"/>
    </row>
    <row r="842" spans="2:18" x14ac:dyDescent="0.2">
      <c r="B842">
        <v>830</v>
      </c>
      <c r="C842" s="1">
        <v>0.95498752599049708</v>
      </c>
      <c r="D842" s="1">
        <f t="shared" si="97"/>
        <v>155.73606783790194</v>
      </c>
      <c r="E842" s="18">
        <f t="shared" si="104"/>
        <v>-60.016413459277487</v>
      </c>
      <c r="F842" s="1">
        <f t="shared" si="102"/>
        <v>95.719654378624455</v>
      </c>
      <c r="G842" s="9">
        <f t="shared" si="98"/>
        <v>0</v>
      </c>
      <c r="H842" s="9">
        <f t="shared" si="99"/>
        <v>80</v>
      </c>
      <c r="I842" s="9">
        <f t="shared" si="100"/>
        <v>9.4317926271746728</v>
      </c>
      <c r="J842" s="9">
        <f t="shared" si="101"/>
        <v>6.2878617514497819</v>
      </c>
      <c r="K842" s="1">
        <f t="shared" si="103"/>
        <v>95.719654378624455</v>
      </c>
      <c r="L842" s="1"/>
      <c r="M842" s="3"/>
      <c r="N842" s="3"/>
      <c r="O842" s="3"/>
      <c r="P842" s="3"/>
      <c r="Q842" s="3"/>
      <c r="R842" s="1"/>
    </row>
    <row r="843" spans="2:18" x14ac:dyDescent="0.2">
      <c r="B843">
        <v>831</v>
      </c>
      <c r="C843" s="1">
        <v>0.95839636803758999</v>
      </c>
      <c r="D843" s="1">
        <f t="shared" si="97"/>
        <v>156.05492159715487</v>
      </c>
      <c r="E843" s="18">
        <f t="shared" si="104"/>
        <v>-60.016413459277487</v>
      </c>
      <c r="F843" s="1">
        <f t="shared" si="102"/>
        <v>96.038508137877386</v>
      </c>
      <c r="G843" s="9">
        <f t="shared" si="98"/>
        <v>0</v>
      </c>
      <c r="H843" s="9">
        <f t="shared" si="99"/>
        <v>80</v>
      </c>
      <c r="I843" s="9">
        <f t="shared" si="100"/>
        <v>9.6231048827264321</v>
      </c>
      <c r="J843" s="9">
        <f t="shared" si="101"/>
        <v>6.415403255150955</v>
      </c>
      <c r="K843" s="1">
        <f t="shared" si="103"/>
        <v>96.038508137877386</v>
      </c>
      <c r="L843" s="1"/>
      <c r="M843" s="3"/>
      <c r="N843" s="3"/>
      <c r="O843" s="3"/>
      <c r="P843" s="3"/>
      <c r="Q843" s="3"/>
      <c r="R843" s="1"/>
    </row>
    <row r="844" spans="2:18" x14ac:dyDescent="0.2">
      <c r="B844">
        <v>832</v>
      </c>
      <c r="C844" s="1">
        <v>0.96219592707119184</v>
      </c>
      <c r="D844" s="1">
        <f t="shared" si="97"/>
        <v>156.4110913615672</v>
      </c>
      <c r="E844" s="18">
        <f t="shared" si="104"/>
        <v>-60.016413459277487</v>
      </c>
      <c r="F844" s="1">
        <f t="shared" si="102"/>
        <v>96.394677902289715</v>
      </c>
      <c r="G844" s="9">
        <f t="shared" si="98"/>
        <v>0</v>
      </c>
      <c r="H844" s="9">
        <f t="shared" si="99"/>
        <v>80</v>
      </c>
      <c r="I844" s="9">
        <f t="shared" si="100"/>
        <v>9.8368067413738292</v>
      </c>
      <c r="J844" s="9">
        <f t="shared" si="101"/>
        <v>6.5578711609158864</v>
      </c>
      <c r="K844" s="1">
        <f t="shared" si="103"/>
        <v>96.394677902289715</v>
      </c>
      <c r="L844" s="1"/>
      <c r="M844" s="3"/>
      <c r="N844" s="3"/>
      <c r="O844" s="3"/>
      <c r="P844" s="3"/>
      <c r="Q844" s="3"/>
      <c r="R844" s="1"/>
    </row>
    <row r="845" spans="2:18" x14ac:dyDescent="0.2">
      <c r="B845">
        <v>833</v>
      </c>
      <c r="C845" s="1">
        <v>0.96281054352067319</v>
      </c>
      <c r="D845" s="1">
        <f t="shared" ref="D845:D908" si="105">a0*EXP((RR-0.5*sigma^2)*T+sigma*SQRT(T)*C845)</f>
        <v>156.46878169592125</v>
      </c>
      <c r="E845" s="18">
        <f t="shared" si="104"/>
        <v>-60.016413459277487</v>
      </c>
      <c r="F845" s="1">
        <f t="shared" si="102"/>
        <v>96.452368236643764</v>
      </c>
      <c r="G845" s="9">
        <f t="shared" ref="G845:G908" si="106">IF(F845&lt;F,MIN(disc,F845),0)</f>
        <v>0</v>
      </c>
      <c r="H845" s="9">
        <f t="shared" ref="H845:H908" si="107">IF(F845&gt;=F,F,F845-G845)</f>
        <v>80</v>
      </c>
      <c r="I845" s="9">
        <f t="shared" ref="I845:I908" si="108">(1-tax)*(F845-G845-H845)</f>
        <v>9.8714209419862584</v>
      </c>
      <c r="J845" s="9">
        <f t="shared" ref="J845:J908" si="109">tax*(F845-G845-H845)</f>
        <v>6.5809472946575056</v>
      </c>
      <c r="K845" s="1">
        <f t="shared" si="103"/>
        <v>96.452368236643764</v>
      </c>
      <c r="L845" s="1"/>
      <c r="M845" s="3"/>
      <c r="N845" s="3"/>
      <c r="O845" s="3"/>
      <c r="P845" s="3"/>
      <c r="Q845" s="3"/>
      <c r="R845" s="1"/>
    </row>
    <row r="846" spans="2:18" x14ac:dyDescent="0.2">
      <c r="B846">
        <v>834</v>
      </c>
      <c r="C846" s="1">
        <v>0.96499456050059595</v>
      </c>
      <c r="D846" s="1">
        <f t="shared" si="105"/>
        <v>156.67395438238179</v>
      </c>
      <c r="E846" s="18">
        <f t="shared" si="104"/>
        <v>-60.016413459277487</v>
      </c>
      <c r="F846" s="1">
        <f t="shared" ref="F846:F909" si="110">D846+E846</f>
        <v>96.657540923104307</v>
      </c>
      <c r="G846" s="9">
        <f t="shared" si="106"/>
        <v>0</v>
      </c>
      <c r="H846" s="9">
        <f t="shared" si="107"/>
        <v>80</v>
      </c>
      <c r="I846" s="9">
        <f t="shared" si="108"/>
        <v>9.9945245538625844</v>
      </c>
      <c r="J846" s="9">
        <f t="shared" si="109"/>
        <v>6.6630163692417232</v>
      </c>
      <c r="K846" s="1">
        <f t="shared" ref="K846:K909" si="111">SUM(G846:J846)</f>
        <v>96.657540923104307</v>
      </c>
      <c r="L846" s="1"/>
      <c r="M846" s="3"/>
      <c r="N846" s="3"/>
      <c r="O846" s="3"/>
      <c r="P846" s="3"/>
      <c r="Q846" s="3"/>
      <c r="R846" s="1"/>
    </row>
    <row r="847" spans="2:18" x14ac:dyDescent="0.2">
      <c r="B847">
        <v>835</v>
      </c>
      <c r="C847" s="1">
        <v>0.96670509498709012</v>
      </c>
      <c r="D847" s="1">
        <f t="shared" si="105"/>
        <v>156.83483464689618</v>
      </c>
      <c r="E847" s="18">
        <f t="shared" si="104"/>
        <v>-60.016413459277487</v>
      </c>
      <c r="F847" s="1">
        <f t="shared" si="110"/>
        <v>96.818421187618696</v>
      </c>
      <c r="G847" s="9">
        <f t="shared" si="106"/>
        <v>0</v>
      </c>
      <c r="H847" s="9">
        <f t="shared" si="107"/>
        <v>80</v>
      </c>
      <c r="I847" s="9">
        <f t="shared" si="108"/>
        <v>10.091052712571217</v>
      </c>
      <c r="J847" s="9">
        <f t="shared" si="109"/>
        <v>6.7273684750474789</v>
      </c>
      <c r="K847" s="1">
        <f t="shared" si="111"/>
        <v>96.818421187618696</v>
      </c>
      <c r="L847" s="1"/>
      <c r="M847" s="3"/>
      <c r="N847" s="3"/>
      <c r="O847" s="3"/>
      <c r="P847" s="3"/>
      <c r="Q847" s="3"/>
      <c r="R847" s="1"/>
    </row>
    <row r="848" spans="2:18" x14ac:dyDescent="0.2">
      <c r="B848">
        <v>836</v>
      </c>
      <c r="C848" s="1">
        <v>0.96854906343227587</v>
      </c>
      <c r="D848" s="1">
        <f t="shared" si="105"/>
        <v>157.00844976314195</v>
      </c>
      <c r="E848" s="18">
        <f t="shared" si="104"/>
        <v>-60.016413459277487</v>
      </c>
      <c r="F848" s="1">
        <f t="shared" si="110"/>
        <v>96.992036303864467</v>
      </c>
      <c r="G848" s="9">
        <f t="shared" si="106"/>
        <v>0</v>
      </c>
      <c r="H848" s="9">
        <f t="shared" si="107"/>
        <v>80</v>
      </c>
      <c r="I848" s="9">
        <f t="shared" si="108"/>
        <v>10.195221782318679</v>
      </c>
      <c r="J848" s="9">
        <f t="shared" si="109"/>
        <v>6.7968145215457874</v>
      </c>
      <c r="K848" s="1">
        <f t="shared" si="111"/>
        <v>96.992036303864467</v>
      </c>
      <c r="L848" s="1"/>
      <c r="M848" s="3"/>
      <c r="N848" s="3"/>
      <c r="O848" s="3"/>
      <c r="P848" s="3"/>
      <c r="Q848" s="3"/>
      <c r="R848" s="1"/>
    </row>
    <row r="849" spans="2:18" x14ac:dyDescent="0.2">
      <c r="B849">
        <v>837</v>
      </c>
      <c r="C849" s="1">
        <v>0.96952186243441574</v>
      </c>
      <c r="D849" s="1">
        <f t="shared" si="105"/>
        <v>157.10011911124883</v>
      </c>
      <c r="E849" s="18">
        <f t="shared" si="104"/>
        <v>-60.016413459277487</v>
      </c>
      <c r="F849" s="1">
        <f t="shared" si="110"/>
        <v>97.083705651971343</v>
      </c>
      <c r="G849" s="9">
        <f t="shared" si="106"/>
        <v>0</v>
      </c>
      <c r="H849" s="9">
        <f t="shared" si="107"/>
        <v>80</v>
      </c>
      <c r="I849" s="9">
        <f t="shared" si="108"/>
        <v>10.250223391182805</v>
      </c>
      <c r="J849" s="9">
        <f t="shared" si="109"/>
        <v>6.8334822607885375</v>
      </c>
      <c r="K849" s="1">
        <f t="shared" si="111"/>
        <v>97.083705651971343</v>
      </c>
      <c r="L849" s="1"/>
      <c r="M849" s="3"/>
      <c r="N849" s="3"/>
      <c r="O849" s="3"/>
      <c r="P849" s="3"/>
      <c r="Q849" s="3"/>
      <c r="R849" s="1"/>
    </row>
    <row r="850" spans="2:18" x14ac:dyDescent="0.2">
      <c r="B850">
        <v>838</v>
      </c>
      <c r="C850" s="1">
        <v>0.97188648653875986</v>
      </c>
      <c r="D850" s="1">
        <f t="shared" si="105"/>
        <v>157.32316693818188</v>
      </c>
      <c r="E850" s="18">
        <f t="shared" si="104"/>
        <v>-60.016413459277487</v>
      </c>
      <c r="F850" s="1">
        <f t="shared" si="110"/>
        <v>97.306753478904398</v>
      </c>
      <c r="G850" s="9">
        <f t="shared" si="106"/>
        <v>0</v>
      </c>
      <c r="H850" s="9">
        <f t="shared" si="107"/>
        <v>80</v>
      </c>
      <c r="I850" s="9">
        <f t="shared" si="108"/>
        <v>10.384052087342639</v>
      </c>
      <c r="J850" s="9">
        <f t="shared" si="109"/>
        <v>6.922701391561759</v>
      </c>
      <c r="K850" s="1">
        <f t="shared" si="111"/>
        <v>97.306753478904398</v>
      </c>
      <c r="L850" s="1"/>
      <c r="M850" s="3"/>
      <c r="N850" s="3"/>
      <c r="O850" s="3"/>
      <c r="P850" s="3"/>
      <c r="Q850" s="3"/>
      <c r="R850" s="1"/>
    </row>
    <row r="851" spans="2:18" x14ac:dyDescent="0.2">
      <c r="B851">
        <v>839</v>
      </c>
      <c r="C851" s="1">
        <v>0.98046057305787659</v>
      </c>
      <c r="D851" s="1">
        <f t="shared" si="105"/>
        <v>158.13459378870206</v>
      </c>
      <c r="E851" s="18">
        <f t="shared" si="104"/>
        <v>-60.016413459277487</v>
      </c>
      <c r="F851" s="1">
        <f t="shared" si="110"/>
        <v>98.118180329424575</v>
      </c>
      <c r="G851" s="9">
        <f t="shared" si="106"/>
        <v>0</v>
      </c>
      <c r="H851" s="9">
        <f t="shared" si="107"/>
        <v>80</v>
      </c>
      <c r="I851" s="9">
        <f t="shared" si="108"/>
        <v>10.870908197654744</v>
      </c>
      <c r="J851" s="9">
        <f t="shared" si="109"/>
        <v>7.2472721317698303</v>
      </c>
      <c r="K851" s="1">
        <f t="shared" si="111"/>
        <v>98.118180329424575</v>
      </c>
      <c r="L851" s="1"/>
      <c r="M851" s="3"/>
      <c r="N851" s="3"/>
      <c r="O851" s="3"/>
      <c r="P851" s="3"/>
      <c r="Q851" s="3"/>
      <c r="R851" s="1"/>
    </row>
    <row r="852" spans="2:18" x14ac:dyDescent="0.2">
      <c r="B852">
        <v>840</v>
      </c>
      <c r="C852" s="1">
        <v>0.98954545851094344</v>
      </c>
      <c r="D852" s="1">
        <f t="shared" si="105"/>
        <v>158.99892816464643</v>
      </c>
      <c r="E852" s="18">
        <f t="shared" si="104"/>
        <v>-60.016413459277487</v>
      </c>
      <c r="F852" s="1">
        <f t="shared" si="110"/>
        <v>98.982514705368942</v>
      </c>
      <c r="G852" s="9">
        <f t="shared" si="106"/>
        <v>0</v>
      </c>
      <c r="H852" s="9">
        <f t="shared" si="107"/>
        <v>80</v>
      </c>
      <c r="I852" s="9">
        <f t="shared" si="108"/>
        <v>11.389508823221364</v>
      </c>
      <c r="J852" s="9">
        <f t="shared" si="109"/>
        <v>7.593005882147577</v>
      </c>
      <c r="K852" s="1">
        <f t="shared" si="111"/>
        <v>98.982514705368942</v>
      </c>
      <c r="L852" s="1"/>
      <c r="M852" s="3"/>
      <c r="N852" s="3"/>
      <c r="O852" s="3"/>
      <c r="P852" s="3"/>
      <c r="Q852" s="3"/>
      <c r="R852" s="1"/>
    </row>
    <row r="853" spans="2:18" x14ac:dyDescent="0.2">
      <c r="B853">
        <v>841</v>
      </c>
      <c r="C853" s="1">
        <v>1.0019591097167049</v>
      </c>
      <c r="D853" s="1">
        <f t="shared" si="105"/>
        <v>160.18760375248812</v>
      </c>
      <c r="E853" s="18">
        <f t="shared" si="104"/>
        <v>-60.016413459277487</v>
      </c>
      <c r="F853" s="1">
        <f t="shared" si="110"/>
        <v>100.17119029321063</v>
      </c>
      <c r="G853" s="9">
        <f t="shared" si="106"/>
        <v>0</v>
      </c>
      <c r="H853" s="9">
        <f t="shared" si="107"/>
        <v>80</v>
      </c>
      <c r="I853" s="9">
        <f t="shared" si="108"/>
        <v>12.102714175926376</v>
      </c>
      <c r="J853" s="9">
        <f t="shared" si="109"/>
        <v>8.0684761172842521</v>
      </c>
      <c r="K853" s="1">
        <f t="shared" si="111"/>
        <v>100.17119029321063</v>
      </c>
      <c r="L853" s="1"/>
      <c r="M853" s="3"/>
      <c r="N853" s="3"/>
      <c r="O853" s="3"/>
      <c r="P853" s="3"/>
      <c r="Q853" s="3"/>
      <c r="R853" s="1"/>
    </row>
    <row r="854" spans="2:18" x14ac:dyDescent="0.2">
      <c r="B854">
        <v>842</v>
      </c>
      <c r="C854" s="1">
        <v>1.0039359863669932</v>
      </c>
      <c r="D854" s="1">
        <f t="shared" si="105"/>
        <v>160.37771916072651</v>
      </c>
      <c r="E854" s="18">
        <f t="shared" si="104"/>
        <v>-60.016413459277487</v>
      </c>
      <c r="F854" s="1">
        <f t="shared" si="110"/>
        <v>100.36130570144903</v>
      </c>
      <c r="G854" s="9">
        <f t="shared" si="106"/>
        <v>0</v>
      </c>
      <c r="H854" s="9">
        <f t="shared" si="107"/>
        <v>80</v>
      </c>
      <c r="I854" s="9">
        <f t="shared" si="108"/>
        <v>12.216783420869415</v>
      </c>
      <c r="J854" s="9">
        <f t="shared" si="109"/>
        <v>8.1445222805796114</v>
      </c>
      <c r="K854" s="1">
        <f t="shared" si="111"/>
        <v>100.36130570144903</v>
      </c>
      <c r="L854" s="1"/>
      <c r="M854" s="3"/>
      <c r="N854" s="3"/>
      <c r="O854" s="3"/>
      <c r="P854" s="3"/>
      <c r="Q854" s="3"/>
      <c r="R854" s="1"/>
    </row>
    <row r="855" spans="2:18" x14ac:dyDescent="0.2">
      <c r="B855">
        <v>843</v>
      </c>
      <c r="C855" s="1">
        <v>1.0056497779551923</v>
      </c>
      <c r="D855" s="1">
        <f t="shared" si="105"/>
        <v>160.54271636905582</v>
      </c>
      <c r="E855" s="18">
        <f t="shared" si="104"/>
        <v>-60.016413459277487</v>
      </c>
      <c r="F855" s="1">
        <f t="shared" si="110"/>
        <v>100.52630290977834</v>
      </c>
      <c r="G855" s="9">
        <f t="shared" si="106"/>
        <v>0</v>
      </c>
      <c r="H855" s="9">
        <f t="shared" si="107"/>
        <v>80</v>
      </c>
      <c r="I855" s="9">
        <f t="shared" si="108"/>
        <v>12.315781745867001</v>
      </c>
      <c r="J855" s="9">
        <f t="shared" si="109"/>
        <v>8.210521163911336</v>
      </c>
      <c r="K855" s="1">
        <f t="shared" si="111"/>
        <v>100.52630290977834</v>
      </c>
      <c r="L855" s="1"/>
      <c r="M855" s="3"/>
      <c r="N855" s="3"/>
      <c r="O855" s="3"/>
      <c r="P855" s="3"/>
      <c r="Q855" s="3"/>
      <c r="R855" s="1"/>
    </row>
    <row r="856" spans="2:18" x14ac:dyDescent="0.2">
      <c r="B856">
        <v>844</v>
      </c>
      <c r="C856" s="1">
        <v>1.0077623942457594</v>
      </c>
      <c r="D856" s="1">
        <f t="shared" si="105"/>
        <v>160.74634449297861</v>
      </c>
      <c r="E856" s="18">
        <f t="shared" si="104"/>
        <v>-60.016413459277487</v>
      </c>
      <c r="F856" s="1">
        <f t="shared" si="110"/>
        <v>100.72993103370112</v>
      </c>
      <c r="G856" s="9">
        <f t="shared" si="106"/>
        <v>0</v>
      </c>
      <c r="H856" s="9">
        <f t="shared" si="107"/>
        <v>80</v>
      </c>
      <c r="I856" s="9">
        <f t="shared" si="108"/>
        <v>12.437958620220671</v>
      </c>
      <c r="J856" s="9">
        <f t="shared" si="109"/>
        <v>8.2919724134804493</v>
      </c>
      <c r="K856" s="1">
        <f t="shared" si="111"/>
        <v>100.72993103370112</v>
      </c>
      <c r="L856" s="1"/>
      <c r="M856" s="3"/>
      <c r="N856" s="3"/>
      <c r="O856" s="3"/>
      <c r="P856" s="3"/>
      <c r="Q856" s="3"/>
      <c r="R856" s="1"/>
    </row>
    <row r="857" spans="2:18" x14ac:dyDescent="0.2">
      <c r="B857">
        <v>845</v>
      </c>
      <c r="C857" s="1">
        <v>1.0115213872655011</v>
      </c>
      <c r="D857" s="1">
        <f t="shared" si="105"/>
        <v>161.10930027573639</v>
      </c>
      <c r="E857" s="18">
        <f t="shared" si="104"/>
        <v>-60.016413459277487</v>
      </c>
      <c r="F857" s="1">
        <f t="shared" si="110"/>
        <v>101.0928868164589</v>
      </c>
      <c r="G857" s="9">
        <f t="shared" si="106"/>
        <v>0</v>
      </c>
      <c r="H857" s="9">
        <f t="shared" si="107"/>
        <v>80</v>
      </c>
      <c r="I857" s="9">
        <f t="shared" si="108"/>
        <v>12.65573208987534</v>
      </c>
      <c r="J857" s="9">
        <f t="shared" si="109"/>
        <v>8.4371547265835609</v>
      </c>
      <c r="K857" s="1">
        <f t="shared" si="111"/>
        <v>101.0928868164589</v>
      </c>
      <c r="L857" s="1"/>
      <c r="M857" s="3"/>
      <c r="N857" s="3"/>
      <c r="O857" s="3"/>
      <c r="P857" s="3"/>
      <c r="Q857" s="3"/>
      <c r="R857" s="1"/>
    </row>
    <row r="858" spans="2:18" x14ac:dyDescent="0.2">
      <c r="B858">
        <v>846</v>
      </c>
      <c r="C858" s="1">
        <v>1.0127567127812085</v>
      </c>
      <c r="D858" s="1">
        <f t="shared" si="105"/>
        <v>161.22875799868851</v>
      </c>
      <c r="E858" s="18">
        <f t="shared" si="104"/>
        <v>-60.016413459277487</v>
      </c>
      <c r="F858" s="1">
        <f t="shared" si="110"/>
        <v>101.21234453941102</v>
      </c>
      <c r="G858" s="9">
        <f t="shared" si="106"/>
        <v>0</v>
      </c>
      <c r="H858" s="9">
        <f t="shared" si="107"/>
        <v>80</v>
      </c>
      <c r="I858" s="9">
        <f t="shared" si="108"/>
        <v>12.727406723646611</v>
      </c>
      <c r="J858" s="9">
        <f t="shared" si="109"/>
        <v>8.4849378157644093</v>
      </c>
      <c r="K858" s="1">
        <f t="shared" si="111"/>
        <v>101.21234453941102</v>
      </c>
      <c r="L858" s="1"/>
      <c r="M858" s="3"/>
      <c r="N858" s="3"/>
      <c r="O858" s="3"/>
      <c r="P858" s="3"/>
      <c r="Q858" s="3"/>
      <c r="R858" s="1"/>
    </row>
    <row r="859" spans="2:18" x14ac:dyDescent="0.2">
      <c r="B859">
        <v>847</v>
      </c>
      <c r="C859" s="1">
        <v>1.0138497588914379</v>
      </c>
      <c r="D859" s="1">
        <f t="shared" si="105"/>
        <v>161.33453095938685</v>
      </c>
      <c r="E859" s="18">
        <f t="shared" si="104"/>
        <v>-60.016413459277487</v>
      </c>
      <c r="F859" s="1">
        <f t="shared" si="110"/>
        <v>101.31811750010937</v>
      </c>
      <c r="G859" s="9">
        <f t="shared" si="106"/>
        <v>0</v>
      </c>
      <c r="H859" s="9">
        <f t="shared" si="107"/>
        <v>80</v>
      </c>
      <c r="I859" s="9">
        <f t="shared" si="108"/>
        <v>12.790870500065619</v>
      </c>
      <c r="J859" s="9">
        <f t="shared" si="109"/>
        <v>8.5272470000437472</v>
      </c>
      <c r="K859" s="1">
        <f t="shared" si="111"/>
        <v>101.31811750010937</v>
      </c>
      <c r="L859" s="1"/>
      <c r="M859" s="3"/>
      <c r="N859" s="3"/>
      <c r="O859" s="3"/>
      <c r="P859" s="3"/>
      <c r="Q859" s="3"/>
      <c r="R859" s="1"/>
    </row>
    <row r="860" spans="2:18" x14ac:dyDescent="0.2">
      <c r="B860">
        <v>848</v>
      </c>
      <c r="C860" s="1">
        <v>1.0164213265035371</v>
      </c>
      <c r="D860" s="1">
        <f t="shared" si="105"/>
        <v>161.58365269269518</v>
      </c>
      <c r="E860" s="18">
        <f t="shared" si="104"/>
        <v>-60.016413459277487</v>
      </c>
      <c r="F860" s="1">
        <f t="shared" si="110"/>
        <v>101.56723923341769</v>
      </c>
      <c r="G860" s="9">
        <f t="shared" si="106"/>
        <v>0</v>
      </c>
      <c r="H860" s="9">
        <f t="shared" si="107"/>
        <v>80</v>
      </c>
      <c r="I860" s="9">
        <f t="shared" si="108"/>
        <v>12.940343540050616</v>
      </c>
      <c r="J860" s="9">
        <f t="shared" si="109"/>
        <v>8.6268956933670786</v>
      </c>
      <c r="K860" s="1">
        <f t="shared" si="111"/>
        <v>101.56723923341769</v>
      </c>
      <c r="L860" s="1"/>
      <c r="M860" s="3"/>
      <c r="N860" s="3"/>
      <c r="O860" s="3"/>
      <c r="P860" s="3"/>
      <c r="Q860" s="3"/>
      <c r="R860" s="1"/>
    </row>
    <row r="861" spans="2:18" x14ac:dyDescent="0.2">
      <c r="B861">
        <v>849</v>
      </c>
      <c r="C861" s="1">
        <v>1.0170713580662762</v>
      </c>
      <c r="D861" s="1">
        <f t="shared" si="105"/>
        <v>161.64668566848704</v>
      </c>
      <c r="E861" s="18">
        <f t="shared" si="104"/>
        <v>-60.016413459277487</v>
      </c>
      <c r="F861" s="1">
        <f t="shared" si="110"/>
        <v>101.63027220920955</v>
      </c>
      <c r="G861" s="9">
        <f t="shared" si="106"/>
        <v>0</v>
      </c>
      <c r="H861" s="9">
        <f t="shared" si="107"/>
        <v>80</v>
      </c>
      <c r="I861" s="9">
        <f t="shared" si="108"/>
        <v>12.978163325525729</v>
      </c>
      <c r="J861" s="9">
        <f t="shared" si="109"/>
        <v>8.6521088836838214</v>
      </c>
      <c r="K861" s="1">
        <f t="shared" si="111"/>
        <v>101.63027220920955</v>
      </c>
      <c r="L861" s="1"/>
      <c r="M861" s="3"/>
      <c r="N861" s="3"/>
      <c r="O861" s="3"/>
      <c r="P861" s="3"/>
      <c r="Q861" s="3"/>
      <c r="R861" s="1"/>
    </row>
    <row r="862" spans="2:18" x14ac:dyDescent="0.2">
      <c r="B862">
        <v>850</v>
      </c>
      <c r="C862" s="1">
        <v>1.02367914354796</v>
      </c>
      <c r="D862" s="1">
        <f t="shared" si="105"/>
        <v>162.28883375401972</v>
      </c>
      <c r="E862" s="18">
        <f t="shared" si="104"/>
        <v>-60.016413459277487</v>
      </c>
      <c r="F862" s="1">
        <f t="shared" si="110"/>
        <v>102.27242029474223</v>
      </c>
      <c r="G862" s="9">
        <f t="shared" si="106"/>
        <v>0</v>
      </c>
      <c r="H862" s="9">
        <f t="shared" si="107"/>
        <v>80</v>
      </c>
      <c r="I862" s="9">
        <f t="shared" si="108"/>
        <v>13.363452176845339</v>
      </c>
      <c r="J862" s="9">
        <f t="shared" si="109"/>
        <v>8.9089681178968938</v>
      </c>
      <c r="K862" s="1">
        <f t="shared" si="111"/>
        <v>102.27242029474223</v>
      </c>
      <c r="L862" s="1"/>
      <c r="M862" s="3"/>
      <c r="N862" s="3"/>
      <c r="O862" s="3"/>
      <c r="P862" s="3"/>
      <c r="Q862" s="3"/>
      <c r="R862" s="1"/>
    </row>
    <row r="863" spans="2:18" x14ac:dyDescent="0.2">
      <c r="B863">
        <v>851</v>
      </c>
      <c r="C863" s="1">
        <v>1.0300071035682885</v>
      </c>
      <c r="D863" s="1">
        <f t="shared" si="105"/>
        <v>162.90617932487942</v>
      </c>
      <c r="E863" s="18">
        <f t="shared" si="104"/>
        <v>-60.016413459277487</v>
      </c>
      <c r="F863" s="1">
        <f t="shared" si="110"/>
        <v>102.88976586560193</v>
      </c>
      <c r="G863" s="9">
        <f t="shared" si="106"/>
        <v>0</v>
      </c>
      <c r="H863" s="9">
        <f t="shared" si="107"/>
        <v>80</v>
      </c>
      <c r="I863" s="9">
        <f t="shared" si="108"/>
        <v>13.733859519361157</v>
      </c>
      <c r="J863" s="9">
        <f t="shared" si="109"/>
        <v>9.1559063462407728</v>
      </c>
      <c r="K863" s="1">
        <f t="shared" si="111"/>
        <v>102.88976586560193</v>
      </c>
      <c r="L863" s="1"/>
      <c r="M863" s="3"/>
      <c r="N863" s="3"/>
      <c r="O863" s="3"/>
      <c r="P863" s="3"/>
      <c r="Q863" s="3"/>
      <c r="R863" s="1"/>
    </row>
    <row r="864" spans="2:18" x14ac:dyDescent="0.2">
      <c r="B864">
        <v>852</v>
      </c>
      <c r="C864" s="1">
        <v>1.0348007643840735</v>
      </c>
      <c r="D864" s="1">
        <f t="shared" si="105"/>
        <v>163.37540397363861</v>
      </c>
      <c r="E864" s="18">
        <f t="shared" si="104"/>
        <v>-60.016413459277487</v>
      </c>
      <c r="F864" s="1">
        <f t="shared" si="110"/>
        <v>103.35899051436112</v>
      </c>
      <c r="G864" s="9">
        <f t="shared" si="106"/>
        <v>0</v>
      </c>
      <c r="H864" s="9">
        <f t="shared" si="107"/>
        <v>80</v>
      </c>
      <c r="I864" s="9">
        <f t="shared" si="108"/>
        <v>14.015394308616674</v>
      </c>
      <c r="J864" s="9">
        <f t="shared" si="109"/>
        <v>9.3435962057444506</v>
      </c>
      <c r="K864" s="1">
        <f t="shared" si="111"/>
        <v>103.35899051436112</v>
      </c>
      <c r="L864" s="1"/>
      <c r="M864" s="3"/>
      <c r="N864" s="3"/>
      <c r="O864" s="3"/>
      <c r="P864" s="3"/>
      <c r="Q864" s="3"/>
      <c r="R864" s="1"/>
    </row>
    <row r="865" spans="2:18" x14ac:dyDescent="0.2">
      <c r="B865">
        <v>853</v>
      </c>
      <c r="C865" s="1">
        <v>1.0367203485514542</v>
      </c>
      <c r="D865" s="1">
        <f t="shared" si="105"/>
        <v>163.5636800796598</v>
      </c>
      <c r="E865" s="18">
        <f t="shared" si="104"/>
        <v>-60.016413459277487</v>
      </c>
      <c r="F865" s="1">
        <f t="shared" si="110"/>
        <v>103.54726662038232</v>
      </c>
      <c r="G865" s="9">
        <f t="shared" si="106"/>
        <v>0</v>
      </c>
      <c r="H865" s="9">
        <f t="shared" si="107"/>
        <v>80</v>
      </c>
      <c r="I865" s="9">
        <f t="shared" si="108"/>
        <v>14.12835997222939</v>
      </c>
      <c r="J865" s="9">
        <f t="shared" si="109"/>
        <v>9.4189066481529267</v>
      </c>
      <c r="K865" s="1">
        <f t="shared" si="111"/>
        <v>103.54726662038232</v>
      </c>
      <c r="L865" s="1"/>
      <c r="M865" s="3"/>
      <c r="N865" s="3"/>
      <c r="O865" s="3"/>
      <c r="P865" s="3"/>
      <c r="Q865" s="3"/>
      <c r="R865" s="1"/>
    </row>
    <row r="866" spans="2:18" x14ac:dyDescent="0.2">
      <c r="B866">
        <v>854</v>
      </c>
      <c r="C866" s="1">
        <v>1.0373196800004252</v>
      </c>
      <c r="D866" s="1">
        <f t="shared" si="105"/>
        <v>163.62250797067611</v>
      </c>
      <c r="E866" s="18">
        <f t="shared" si="104"/>
        <v>-60.016413459277487</v>
      </c>
      <c r="F866" s="1">
        <f t="shared" si="110"/>
        <v>103.60609451139862</v>
      </c>
      <c r="G866" s="9">
        <f t="shared" si="106"/>
        <v>0</v>
      </c>
      <c r="H866" s="9">
        <f t="shared" si="107"/>
        <v>80</v>
      </c>
      <c r="I866" s="9">
        <f t="shared" si="108"/>
        <v>14.163656706839173</v>
      </c>
      <c r="J866" s="9">
        <f t="shared" si="109"/>
        <v>9.4424378045594501</v>
      </c>
      <c r="K866" s="1">
        <f t="shared" si="111"/>
        <v>103.60609451139862</v>
      </c>
      <c r="L866" s="1"/>
      <c r="M866" s="3"/>
      <c r="N866" s="3"/>
      <c r="O866" s="3"/>
      <c r="P866" s="3"/>
      <c r="Q866" s="3"/>
      <c r="R866" s="1"/>
    </row>
    <row r="867" spans="2:18" x14ac:dyDescent="0.2">
      <c r="B867">
        <v>855</v>
      </c>
      <c r="C867" s="1">
        <v>1.0408725227842226</v>
      </c>
      <c r="D867" s="1">
        <f t="shared" si="105"/>
        <v>163.97167502717667</v>
      </c>
      <c r="E867" s="18">
        <f t="shared" si="104"/>
        <v>-60.016413459277487</v>
      </c>
      <c r="F867" s="1">
        <f t="shared" si="110"/>
        <v>103.95526156789919</v>
      </c>
      <c r="G867" s="9">
        <f t="shared" si="106"/>
        <v>0</v>
      </c>
      <c r="H867" s="9">
        <f t="shared" si="107"/>
        <v>80</v>
      </c>
      <c r="I867" s="9">
        <f t="shared" si="108"/>
        <v>14.373156940739511</v>
      </c>
      <c r="J867" s="9">
        <f t="shared" si="109"/>
        <v>9.5821046271596746</v>
      </c>
      <c r="K867" s="1">
        <f t="shared" si="111"/>
        <v>103.95526156789919</v>
      </c>
      <c r="L867" s="1"/>
      <c r="M867" s="3"/>
      <c r="N867" s="3"/>
      <c r="O867" s="3"/>
      <c r="P867" s="3"/>
      <c r="Q867" s="3"/>
      <c r="R867" s="1"/>
    </row>
    <row r="868" spans="2:18" x14ac:dyDescent="0.2">
      <c r="B868">
        <v>856</v>
      </c>
      <c r="C868" s="1">
        <v>1.0421039940578323</v>
      </c>
      <c r="D868" s="1">
        <f t="shared" si="105"/>
        <v>164.09287564267444</v>
      </c>
      <c r="E868" s="18">
        <f t="shared" si="104"/>
        <v>-60.016413459277487</v>
      </c>
      <c r="F868" s="1">
        <f t="shared" si="110"/>
        <v>104.07646218339696</v>
      </c>
      <c r="G868" s="9">
        <f t="shared" si="106"/>
        <v>0</v>
      </c>
      <c r="H868" s="9">
        <f t="shared" si="107"/>
        <v>80</v>
      </c>
      <c r="I868" s="9">
        <f t="shared" si="108"/>
        <v>14.445877310038172</v>
      </c>
      <c r="J868" s="9">
        <f t="shared" si="109"/>
        <v>9.6305848733587833</v>
      </c>
      <c r="K868" s="1">
        <f t="shared" si="111"/>
        <v>104.07646218339696</v>
      </c>
      <c r="L868" s="1"/>
      <c r="M868" s="3"/>
      <c r="N868" s="3"/>
      <c r="O868" s="3"/>
      <c r="P868" s="3"/>
      <c r="Q868" s="3"/>
      <c r="R868" s="1"/>
    </row>
    <row r="869" spans="2:18" x14ac:dyDescent="0.2">
      <c r="B869">
        <v>857</v>
      </c>
      <c r="C869" s="1">
        <v>1.0467045203045595</v>
      </c>
      <c r="D869" s="1">
        <f t="shared" si="105"/>
        <v>164.54644950699725</v>
      </c>
      <c r="E869" s="18">
        <f t="shared" si="104"/>
        <v>-60.016413459277487</v>
      </c>
      <c r="F869" s="1">
        <f t="shared" si="110"/>
        <v>104.53003604771976</v>
      </c>
      <c r="G869" s="9">
        <f t="shared" si="106"/>
        <v>0</v>
      </c>
      <c r="H869" s="9">
        <f t="shared" si="107"/>
        <v>80</v>
      </c>
      <c r="I869" s="9">
        <f t="shared" si="108"/>
        <v>14.718021628631856</v>
      </c>
      <c r="J869" s="9">
        <f t="shared" si="109"/>
        <v>9.8120144190879053</v>
      </c>
      <c r="K869" s="1">
        <f t="shared" si="111"/>
        <v>104.53003604771976</v>
      </c>
      <c r="L869" s="1"/>
      <c r="M869" s="3"/>
      <c r="N869" s="3"/>
      <c r="O869" s="3"/>
      <c r="P869" s="3"/>
      <c r="Q869" s="3"/>
      <c r="R869" s="1"/>
    </row>
    <row r="870" spans="2:18" x14ac:dyDescent="0.2">
      <c r="B870">
        <v>858</v>
      </c>
      <c r="C870" s="1">
        <v>1.0587905896911032</v>
      </c>
      <c r="D870" s="1">
        <f t="shared" si="105"/>
        <v>165.74401831255952</v>
      </c>
      <c r="E870" s="18">
        <f t="shared" si="104"/>
        <v>-60.016413459277487</v>
      </c>
      <c r="F870" s="1">
        <f t="shared" si="110"/>
        <v>105.72760485328203</v>
      </c>
      <c r="G870" s="9">
        <f t="shared" si="106"/>
        <v>0</v>
      </c>
      <c r="H870" s="9">
        <f t="shared" si="107"/>
        <v>80</v>
      </c>
      <c r="I870" s="9">
        <f t="shared" si="108"/>
        <v>15.436562911969219</v>
      </c>
      <c r="J870" s="9">
        <f t="shared" si="109"/>
        <v>10.291041941312812</v>
      </c>
      <c r="K870" s="1">
        <f t="shared" si="111"/>
        <v>105.72760485328203</v>
      </c>
      <c r="L870" s="1"/>
      <c r="M870" s="3"/>
      <c r="N870" s="3"/>
      <c r="O870" s="3"/>
      <c r="P870" s="3"/>
      <c r="Q870" s="3"/>
      <c r="R870" s="1"/>
    </row>
    <row r="871" spans="2:18" x14ac:dyDescent="0.2">
      <c r="B871">
        <v>859</v>
      </c>
      <c r="C871" s="1">
        <v>1.0716172249901572</v>
      </c>
      <c r="D871" s="1">
        <f t="shared" si="105"/>
        <v>167.02450212771896</v>
      </c>
      <c r="E871" s="18">
        <f t="shared" si="104"/>
        <v>-60.016413459277487</v>
      </c>
      <c r="F871" s="1">
        <f t="shared" si="110"/>
        <v>107.00808866844147</v>
      </c>
      <c r="G871" s="9">
        <f t="shared" si="106"/>
        <v>0</v>
      </c>
      <c r="H871" s="9">
        <f t="shared" si="107"/>
        <v>80</v>
      </c>
      <c r="I871" s="9">
        <f t="shared" si="108"/>
        <v>16.204853201064882</v>
      </c>
      <c r="J871" s="9">
        <f t="shared" si="109"/>
        <v>10.80323546737659</v>
      </c>
      <c r="K871" s="1">
        <f t="shared" si="111"/>
        <v>107.00808866844147</v>
      </c>
      <c r="L871" s="1"/>
      <c r="M871" s="3"/>
      <c r="N871" s="3"/>
      <c r="O871" s="3"/>
      <c r="P871" s="3"/>
      <c r="Q871" s="3"/>
      <c r="R871" s="1"/>
    </row>
    <row r="872" spans="2:18" x14ac:dyDescent="0.2">
      <c r="B872">
        <v>860</v>
      </c>
      <c r="C872" s="1">
        <v>1.0777115631274323</v>
      </c>
      <c r="D872" s="1">
        <f t="shared" si="105"/>
        <v>167.63636238686627</v>
      </c>
      <c r="E872" s="18">
        <f t="shared" si="104"/>
        <v>-60.016413459277487</v>
      </c>
      <c r="F872" s="1">
        <f t="shared" si="110"/>
        <v>107.61994892758878</v>
      </c>
      <c r="G872" s="9">
        <f t="shared" si="106"/>
        <v>0</v>
      </c>
      <c r="H872" s="9">
        <f t="shared" si="107"/>
        <v>80</v>
      </c>
      <c r="I872" s="9">
        <f t="shared" si="108"/>
        <v>16.571969356553268</v>
      </c>
      <c r="J872" s="9">
        <f t="shared" si="109"/>
        <v>11.047979571035512</v>
      </c>
      <c r="K872" s="1">
        <f t="shared" si="111"/>
        <v>107.61994892758878</v>
      </c>
      <c r="L872" s="1"/>
      <c r="M872" s="3"/>
      <c r="N872" s="3"/>
      <c r="O872" s="3"/>
      <c r="P872" s="3"/>
      <c r="Q872" s="3"/>
      <c r="R872" s="1"/>
    </row>
    <row r="873" spans="2:18" x14ac:dyDescent="0.2">
      <c r="B873">
        <v>861</v>
      </c>
      <c r="C873" s="1">
        <v>1.088121285287829</v>
      </c>
      <c r="D873" s="1">
        <f t="shared" si="105"/>
        <v>168.68666776246195</v>
      </c>
      <c r="E873" s="18">
        <f t="shared" si="104"/>
        <v>-60.016413459277487</v>
      </c>
      <c r="F873" s="1">
        <f t="shared" si="110"/>
        <v>108.67025430318446</v>
      </c>
      <c r="G873" s="9">
        <f t="shared" si="106"/>
        <v>0</v>
      </c>
      <c r="H873" s="9">
        <f t="shared" si="107"/>
        <v>80</v>
      </c>
      <c r="I873" s="9">
        <f t="shared" si="108"/>
        <v>17.202152581910678</v>
      </c>
      <c r="J873" s="9">
        <f t="shared" si="109"/>
        <v>11.468101721273786</v>
      </c>
      <c r="K873" s="1">
        <f t="shared" si="111"/>
        <v>108.67025430318446</v>
      </c>
      <c r="L873" s="1"/>
      <c r="M873" s="3"/>
      <c r="N873" s="3"/>
      <c r="O873" s="3"/>
      <c r="P873" s="3"/>
      <c r="Q873" s="3"/>
      <c r="R873" s="1"/>
    </row>
    <row r="874" spans="2:18" x14ac:dyDescent="0.2">
      <c r="B874">
        <v>862</v>
      </c>
      <c r="C874" s="1">
        <v>1.0989131800490186</v>
      </c>
      <c r="D874" s="1">
        <f t="shared" si="105"/>
        <v>169.7824809636368</v>
      </c>
      <c r="E874" s="18">
        <f t="shared" si="104"/>
        <v>-60.016413459277487</v>
      </c>
      <c r="F874" s="1">
        <f t="shared" si="110"/>
        <v>109.76606750435931</v>
      </c>
      <c r="G874" s="9">
        <f t="shared" si="106"/>
        <v>0</v>
      </c>
      <c r="H874" s="9">
        <f t="shared" si="107"/>
        <v>80</v>
      </c>
      <c r="I874" s="9">
        <f t="shared" si="108"/>
        <v>17.859640502615587</v>
      </c>
      <c r="J874" s="9">
        <f t="shared" si="109"/>
        <v>11.906427001743726</v>
      </c>
      <c r="K874" s="1">
        <f t="shared" si="111"/>
        <v>109.76606750435931</v>
      </c>
      <c r="L874" s="1"/>
      <c r="M874" s="3"/>
      <c r="N874" s="3"/>
      <c r="O874" s="3"/>
      <c r="P874" s="3"/>
      <c r="Q874" s="3"/>
      <c r="R874" s="1"/>
    </row>
    <row r="875" spans="2:18" x14ac:dyDescent="0.2">
      <c r="B875">
        <v>863</v>
      </c>
      <c r="C875" s="1">
        <v>1.1093535286851508</v>
      </c>
      <c r="D875" s="1">
        <f t="shared" si="105"/>
        <v>170.84937206553593</v>
      </c>
      <c r="E875" s="18">
        <f t="shared" si="104"/>
        <v>-60.016413459277487</v>
      </c>
      <c r="F875" s="1">
        <f t="shared" si="110"/>
        <v>110.83295860625844</v>
      </c>
      <c r="G875" s="9">
        <f t="shared" si="106"/>
        <v>0</v>
      </c>
      <c r="H875" s="9">
        <f t="shared" si="107"/>
        <v>80</v>
      </c>
      <c r="I875" s="9">
        <f t="shared" si="108"/>
        <v>18.499775163755064</v>
      </c>
      <c r="J875" s="9">
        <f t="shared" si="109"/>
        <v>12.333183442503378</v>
      </c>
      <c r="K875" s="1">
        <f t="shared" si="111"/>
        <v>110.83295860625844</v>
      </c>
      <c r="L875" s="1"/>
      <c r="M875" s="3"/>
      <c r="N875" s="3"/>
      <c r="O875" s="3"/>
      <c r="P875" s="3"/>
      <c r="Q875" s="3"/>
      <c r="R875" s="1"/>
    </row>
    <row r="876" spans="2:18" x14ac:dyDescent="0.2">
      <c r="B876">
        <v>864</v>
      </c>
      <c r="C876" s="1">
        <v>1.1101356471598771</v>
      </c>
      <c r="D876" s="1">
        <f t="shared" si="105"/>
        <v>170.9295655504788</v>
      </c>
      <c r="E876" s="18">
        <f t="shared" si="104"/>
        <v>-60.016413459277487</v>
      </c>
      <c r="F876" s="1">
        <f t="shared" si="110"/>
        <v>110.91315209120131</v>
      </c>
      <c r="G876" s="9">
        <f t="shared" si="106"/>
        <v>0</v>
      </c>
      <c r="H876" s="9">
        <f t="shared" si="107"/>
        <v>80</v>
      </c>
      <c r="I876" s="9">
        <f t="shared" si="108"/>
        <v>18.547891254720785</v>
      </c>
      <c r="J876" s="9">
        <f t="shared" si="109"/>
        <v>12.365260836480525</v>
      </c>
      <c r="K876" s="1">
        <f t="shared" si="111"/>
        <v>110.91315209120131</v>
      </c>
      <c r="L876" s="1"/>
      <c r="M876" s="3"/>
      <c r="N876" s="3"/>
      <c r="O876" s="3"/>
      <c r="P876" s="3"/>
      <c r="Q876" s="3"/>
      <c r="R876" s="1"/>
    </row>
    <row r="877" spans="2:18" x14ac:dyDescent="0.2">
      <c r="B877">
        <v>865</v>
      </c>
      <c r="C877" s="1">
        <v>1.1184798278516148</v>
      </c>
      <c r="D877" s="1">
        <f t="shared" si="105"/>
        <v>171.78747162381501</v>
      </c>
      <c r="E877" s="18">
        <f t="shared" si="104"/>
        <v>-60.016413459277487</v>
      </c>
      <c r="F877" s="1">
        <f t="shared" si="110"/>
        <v>111.77105816453752</v>
      </c>
      <c r="G877" s="9">
        <f t="shared" si="106"/>
        <v>0</v>
      </c>
      <c r="H877" s="9">
        <f t="shared" si="107"/>
        <v>80</v>
      </c>
      <c r="I877" s="9">
        <f t="shared" si="108"/>
        <v>19.062634898722511</v>
      </c>
      <c r="J877" s="9">
        <f t="shared" si="109"/>
        <v>12.708423265815009</v>
      </c>
      <c r="K877" s="1">
        <f t="shared" si="111"/>
        <v>111.77105816453752</v>
      </c>
      <c r="L877" s="1"/>
      <c r="M877" s="3"/>
      <c r="N877" s="3"/>
      <c r="O877" s="3"/>
      <c r="P877" s="3"/>
      <c r="Q877" s="3"/>
      <c r="R877" s="1"/>
    </row>
    <row r="878" spans="2:18" x14ac:dyDescent="0.2">
      <c r="B878">
        <v>866</v>
      </c>
      <c r="C878" s="1">
        <v>1.123549491238377</v>
      </c>
      <c r="D878" s="1">
        <f t="shared" si="105"/>
        <v>172.31080995817305</v>
      </c>
      <c r="E878" s="18">
        <f t="shared" si="104"/>
        <v>-60.016413459277487</v>
      </c>
      <c r="F878" s="1">
        <f t="shared" si="110"/>
        <v>112.29439649889557</v>
      </c>
      <c r="G878" s="9">
        <f t="shared" si="106"/>
        <v>0</v>
      </c>
      <c r="H878" s="9">
        <f t="shared" si="107"/>
        <v>80</v>
      </c>
      <c r="I878" s="9">
        <f t="shared" si="108"/>
        <v>19.376637899337339</v>
      </c>
      <c r="J878" s="9">
        <f t="shared" si="109"/>
        <v>12.917758599558226</v>
      </c>
      <c r="K878" s="1">
        <f t="shared" si="111"/>
        <v>112.29439649889557</v>
      </c>
      <c r="L878" s="1"/>
      <c r="M878" s="3"/>
      <c r="N878" s="3"/>
      <c r="O878" s="3"/>
      <c r="P878" s="3"/>
      <c r="Q878" s="3"/>
      <c r="R878" s="1"/>
    </row>
    <row r="879" spans="2:18" x14ac:dyDescent="0.2">
      <c r="B879">
        <v>867</v>
      </c>
      <c r="C879" s="1">
        <v>1.125578775047372</v>
      </c>
      <c r="D879" s="1">
        <f t="shared" si="105"/>
        <v>172.52073825552478</v>
      </c>
      <c r="E879" s="18">
        <f t="shared" si="104"/>
        <v>-60.016413459277487</v>
      </c>
      <c r="F879" s="1">
        <f t="shared" si="110"/>
        <v>112.50432479624729</v>
      </c>
      <c r="G879" s="9">
        <f t="shared" si="106"/>
        <v>0</v>
      </c>
      <c r="H879" s="9">
        <f t="shared" si="107"/>
        <v>80</v>
      </c>
      <c r="I879" s="9">
        <f t="shared" si="108"/>
        <v>19.502594877748372</v>
      </c>
      <c r="J879" s="9">
        <f t="shared" si="109"/>
        <v>13.001729918498917</v>
      </c>
      <c r="K879" s="1">
        <f t="shared" si="111"/>
        <v>112.50432479624729</v>
      </c>
      <c r="L879" s="1"/>
      <c r="M879" s="3"/>
      <c r="N879" s="3"/>
      <c r="O879" s="3"/>
      <c r="P879" s="3"/>
      <c r="Q879" s="3"/>
      <c r="R879" s="1"/>
    </row>
    <row r="880" spans="2:18" x14ac:dyDescent="0.2">
      <c r="B880">
        <v>868</v>
      </c>
      <c r="C880" s="1">
        <v>1.1383608755757897</v>
      </c>
      <c r="D880" s="1">
        <f t="shared" si="105"/>
        <v>173.84893132641957</v>
      </c>
      <c r="E880" s="18">
        <f t="shared" si="104"/>
        <v>-60.016413459277487</v>
      </c>
      <c r="F880" s="1">
        <f t="shared" si="110"/>
        <v>113.83251786714209</v>
      </c>
      <c r="G880" s="9">
        <f t="shared" si="106"/>
        <v>0</v>
      </c>
      <c r="H880" s="9">
        <f t="shared" si="107"/>
        <v>80</v>
      </c>
      <c r="I880" s="9">
        <f t="shared" si="108"/>
        <v>20.299510720285252</v>
      </c>
      <c r="J880" s="9">
        <f t="shared" si="109"/>
        <v>13.533007146856836</v>
      </c>
      <c r="K880" s="1">
        <f t="shared" si="111"/>
        <v>113.83251786714209</v>
      </c>
      <c r="L880" s="1"/>
      <c r="M880" s="3"/>
      <c r="N880" s="3"/>
      <c r="O880" s="3"/>
      <c r="P880" s="3"/>
      <c r="Q880" s="3"/>
      <c r="R880" s="1"/>
    </row>
    <row r="881" spans="2:18" x14ac:dyDescent="0.2">
      <c r="B881">
        <v>869</v>
      </c>
      <c r="C881" s="1">
        <v>1.1409416074621597</v>
      </c>
      <c r="D881" s="1">
        <f t="shared" si="105"/>
        <v>174.11833433796534</v>
      </c>
      <c r="E881" s="18">
        <f t="shared" si="104"/>
        <v>-60.016413459277487</v>
      </c>
      <c r="F881" s="1">
        <f t="shared" si="110"/>
        <v>114.10192087868785</v>
      </c>
      <c r="G881" s="9">
        <f t="shared" si="106"/>
        <v>0</v>
      </c>
      <c r="H881" s="9">
        <f t="shared" si="107"/>
        <v>80</v>
      </c>
      <c r="I881" s="9">
        <f t="shared" si="108"/>
        <v>20.461152527212707</v>
      </c>
      <c r="J881" s="9">
        <f t="shared" si="109"/>
        <v>13.64076835147514</v>
      </c>
      <c r="K881" s="1">
        <f t="shared" si="111"/>
        <v>114.10192087868785</v>
      </c>
      <c r="L881" s="1"/>
      <c r="M881" s="3"/>
      <c r="N881" s="3"/>
      <c r="O881" s="3"/>
      <c r="P881" s="3"/>
      <c r="Q881" s="3"/>
      <c r="R881" s="1"/>
    </row>
    <row r="882" spans="2:18" x14ac:dyDescent="0.2">
      <c r="B882">
        <v>870</v>
      </c>
      <c r="C882" s="1">
        <v>1.1478879685909187</v>
      </c>
      <c r="D882" s="1">
        <f t="shared" si="105"/>
        <v>174.84554201710654</v>
      </c>
      <c r="E882" s="18">
        <f t="shared" si="104"/>
        <v>-60.016413459277487</v>
      </c>
      <c r="F882" s="1">
        <f t="shared" si="110"/>
        <v>114.82912855782905</v>
      </c>
      <c r="G882" s="9">
        <f t="shared" si="106"/>
        <v>0</v>
      </c>
      <c r="H882" s="9">
        <f t="shared" si="107"/>
        <v>80</v>
      </c>
      <c r="I882" s="9">
        <f t="shared" si="108"/>
        <v>20.897477134697429</v>
      </c>
      <c r="J882" s="9">
        <f t="shared" si="109"/>
        <v>13.931651423131621</v>
      </c>
      <c r="K882" s="1">
        <f t="shared" si="111"/>
        <v>114.82912855782905</v>
      </c>
      <c r="L882" s="1"/>
      <c r="M882" s="3"/>
      <c r="N882" s="3"/>
      <c r="O882" s="3"/>
      <c r="P882" s="3"/>
      <c r="Q882" s="3"/>
      <c r="R882" s="1"/>
    </row>
    <row r="883" spans="2:18" x14ac:dyDescent="0.2">
      <c r="B883">
        <v>871</v>
      </c>
      <c r="C883" s="1">
        <v>1.1526189423575679</v>
      </c>
      <c r="D883" s="1">
        <f t="shared" si="105"/>
        <v>175.34256090186727</v>
      </c>
      <c r="E883" s="18">
        <f t="shared" si="104"/>
        <v>-60.016413459277487</v>
      </c>
      <c r="F883" s="1">
        <f t="shared" si="110"/>
        <v>115.32614744258979</v>
      </c>
      <c r="G883" s="9">
        <f t="shared" si="106"/>
        <v>0</v>
      </c>
      <c r="H883" s="9">
        <f t="shared" si="107"/>
        <v>80</v>
      </c>
      <c r="I883" s="9">
        <f t="shared" si="108"/>
        <v>21.195688465553872</v>
      </c>
      <c r="J883" s="9">
        <f t="shared" si="109"/>
        <v>14.130458977035914</v>
      </c>
      <c r="K883" s="1">
        <f t="shared" si="111"/>
        <v>115.32614744258979</v>
      </c>
      <c r="L883" s="1"/>
      <c r="M883" s="3"/>
      <c r="N883" s="3"/>
      <c r="O883" s="3"/>
      <c r="P883" s="3"/>
      <c r="Q883" s="3"/>
      <c r="R883" s="1"/>
    </row>
    <row r="884" spans="2:18" x14ac:dyDescent="0.2">
      <c r="B884">
        <v>872</v>
      </c>
      <c r="C884" s="1">
        <v>1.152852483155786</v>
      </c>
      <c r="D884" s="1">
        <f t="shared" si="105"/>
        <v>175.36713240834266</v>
      </c>
      <c r="E884" s="18">
        <f t="shared" si="104"/>
        <v>-60.016413459277487</v>
      </c>
      <c r="F884" s="1">
        <f t="shared" si="110"/>
        <v>115.35071894906517</v>
      </c>
      <c r="G884" s="9">
        <f t="shared" si="106"/>
        <v>0</v>
      </c>
      <c r="H884" s="9">
        <f t="shared" si="107"/>
        <v>80</v>
      </c>
      <c r="I884" s="9">
        <f t="shared" si="108"/>
        <v>21.2104313694391</v>
      </c>
      <c r="J884" s="9">
        <f t="shared" si="109"/>
        <v>14.140287579626069</v>
      </c>
      <c r="K884" s="1">
        <f t="shared" si="111"/>
        <v>115.35071894906517</v>
      </c>
      <c r="L884" s="1"/>
      <c r="M884" s="3"/>
      <c r="N884" s="3"/>
      <c r="O884" s="3"/>
      <c r="P884" s="3"/>
      <c r="Q884" s="3"/>
      <c r="R884" s="1"/>
    </row>
    <row r="885" spans="2:18" x14ac:dyDescent="0.2">
      <c r="B885">
        <v>873</v>
      </c>
      <c r="C885" s="1">
        <v>1.1557588818833877</v>
      </c>
      <c r="D885" s="1">
        <f t="shared" si="105"/>
        <v>175.67321129325916</v>
      </c>
      <c r="E885" s="18">
        <f t="shared" si="104"/>
        <v>-60.016413459277487</v>
      </c>
      <c r="F885" s="1">
        <f t="shared" si="110"/>
        <v>115.65679783398167</v>
      </c>
      <c r="G885" s="9">
        <f t="shared" si="106"/>
        <v>0</v>
      </c>
      <c r="H885" s="9">
        <f t="shared" si="107"/>
        <v>80</v>
      </c>
      <c r="I885" s="9">
        <f t="shared" si="108"/>
        <v>21.394078700389002</v>
      </c>
      <c r="J885" s="9">
        <f t="shared" si="109"/>
        <v>14.262719133592668</v>
      </c>
      <c r="K885" s="1">
        <f t="shared" si="111"/>
        <v>115.65679783398167</v>
      </c>
      <c r="L885" s="1"/>
      <c r="M885" s="3"/>
      <c r="N885" s="3"/>
      <c r="O885" s="3"/>
      <c r="P885" s="3"/>
      <c r="Q885" s="3"/>
      <c r="R885" s="1"/>
    </row>
    <row r="886" spans="2:18" x14ac:dyDescent="0.2">
      <c r="B886">
        <v>874</v>
      </c>
      <c r="C886" s="1">
        <v>1.1584964972318246</v>
      </c>
      <c r="D886" s="1">
        <f t="shared" si="105"/>
        <v>175.96200381690909</v>
      </c>
      <c r="E886" s="18">
        <f t="shared" si="104"/>
        <v>-60.016413459277487</v>
      </c>
      <c r="F886" s="1">
        <f t="shared" si="110"/>
        <v>115.9455903576316</v>
      </c>
      <c r="G886" s="9">
        <f t="shared" si="106"/>
        <v>0</v>
      </c>
      <c r="H886" s="9">
        <f t="shared" si="107"/>
        <v>80</v>
      </c>
      <c r="I886" s="9">
        <f t="shared" si="108"/>
        <v>21.567354214578959</v>
      </c>
      <c r="J886" s="9">
        <f t="shared" si="109"/>
        <v>14.378236143052641</v>
      </c>
      <c r="K886" s="1">
        <f t="shared" si="111"/>
        <v>115.9455903576316</v>
      </c>
      <c r="L886" s="1"/>
      <c r="M886" s="3"/>
      <c r="N886" s="3"/>
      <c r="O886" s="3"/>
      <c r="P886" s="3"/>
      <c r="Q886" s="3"/>
      <c r="R886" s="1"/>
    </row>
    <row r="887" spans="2:18" x14ac:dyDescent="0.2">
      <c r="B887">
        <v>875</v>
      </c>
      <c r="C887" s="1">
        <v>1.160314227852997</v>
      </c>
      <c r="D887" s="1">
        <f t="shared" si="105"/>
        <v>176.15401942116927</v>
      </c>
      <c r="E887" s="18">
        <f t="shared" si="104"/>
        <v>-60.016413459277487</v>
      </c>
      <c r="F887" s="1">
        <f t="shared" si="110"/>
        <v>116.13760596189178</v>
      </c>
      <c r="G887" s="9">
        <f t="shared" si="106"/>
        <v>0</v>
      </c>
      <c r="H887" s="9">
        <f t="shared" si="107"/>
        <v>80</v>
      </c>
      <c r="I887" s="9">
        <f t="shared" si="108"/>
        <v>21.682563577135067</v>
      </c>
      <c r="J887" s="9">
        <f t="shared" si="109"/>
        <v>14.455042384756712</v>
      </c>
      <c r="K887" s="1">
        <f t="shared" si="111"/>
        <v>116.13760596189178</v>
      </c>
      <c r="L887" s="1"/>
      <c r="M887" s="3"/>
      <c r="N887" s="3"/>
      <c r="O887" s="3"/>
      <c r="P887" s="3"/>
      <c r="Q887" s="3"/>
      <c r="R887" s="1"/>
    </row>
    <row r="888" spans="2:18" x14ac:dyDescent="0.2">
      <c r="B888">
        <v>876</v>
      </c>
      <c r="C888" s="1">
        <v>1.1687598617130925</v>
      </c>
      <c r="D888" s="1">
        <f t="shared" si="105"/>
        <v>177.04892432856258</v>
      </c>
      <c r="E888" s="18">
        <f t="shared" ref="E888:E951" si="112">-MIN(D888-F,(-IF(AND(D888&gt;=F-dis, D888&lt;F), F-D888, IF(D888&gt;=F, $E$7, 0))))</f>
        <v>-60.016413459277487</v>
      </c>
      <c r="F888" s="1">
        <f t="shared" si="110"/>
        <v>117.03251086928509</v>
      </c>
      <c r="G888" s="9">
        <f t="shared" si="106"/>
        <v>0</v>
      </c>
      <c r="H888" s="9">
        <f t="shared" si="107"/>
        <v>80</v>
      </c>
      <c r="I888" s="9">
        <f t="shared" si="108"/>
        <v>22.219506521571052</v>
      </c>
      <c r="J888" s="9">
        <f t="shared" si="109"/>
        <v>14.813004347714037</v>
      </c>
      <c r="K888" s="1">
        <f t="shared" si="111"/>
        <v>117.03251086928509</v>
      </c>
      <c r="L888" s="1"/>
      <c r="M888" s="3"/>
      <c r="N888" s="3"/>
      <c r="O888" s="3"/>
      <c r="P888" s="3"/>
      <c r="Q888" s="3"/>
      <c r="R888" s="1"/>
    </row>
    <row r="889" spans="2:18" x14ac:dyDescent="0.2">
      <c r="B889">
        <v>877</v>
      </c>
      <c r="C889" s="1">
        <v>1.1706342048836897</v>
      </c>
      <c r="D889" s="1">
        <f t="shared" si="105"/>
        <v>177.24814659614069</v>
      </c>
      <c r="E889" s="18">
        <f t="shared" si="112"/>
        <v>-60.016413459277487</v>
      </c>
      <c r="F889" s="1">
        <f t="shared" si="110"/>
        <v>117.2317331368632</v>
      </c>
      <c r="G889" s="9">
        <f t="shared" si="106"/>
        <v>0</v>
      </c>
      <c r="H889" s="9">
        <f t="shared" si="107"/>
        <v>80</v>
      </c>
      <c r="I889" s="9">
        <f t="shared" si="108"/>
        <v>22.33903988211792</v>
      </c>
      <c r="J889" s="9">
        <f t="shared" si="109"/>
        <v>14.89269325474528</v>
      </c>
      <c r="K889" s="1">
        <f t="shared" si="111"/>
        <v>117.2317331368632</v>
      </c>
      <c r="L889" s="1"/>
      <c r="M889" s="3"/>
      <c r="N889" s="3"/>
      <c r="O889" s="3"/>
      <c r="P889" s="3"/>
      <c r="Q889" s="3"/>
      <c r="R889" s="1"/>
    </row>
    <row r="890" spans="2:18" x14ac:dyDescent="0.2">
      <c r="B890">
        <v>878</v>
      </c>
      <c r="C890" s="1">
        <v>1.1713350498991906</v>
      </c>
      <c r="D890" s="1">
        <f t="shared" si="105"/>
        <v>177.32269635741994</v>
      </c>
      <c r="E890" s="18">
        <f t="shared" si="112"/>
        <v>-60.016413459277487</v>
      </c>
      <c r="F890" s="1">
        <f t="shared" si="110"/>
        <v>117.30628289814246</v>
      </c>
      <c r="G890" s="9">
        <f t="shared" si="106"/>
        <v>0</v>
      </c>
      <c r="H890" s="9">
        <f t="shared" si="107"/>
        <v>80</v>
      </c>
      <c r="I890" s="9">
        <f t="shared" si="108"/>
        <v>22.383769738885473</v>
      </c>
      <c r="J890" s="9">
        <f t="shared" si="109"/>
        <v>14.922513159256983</v>
      </c>
      <c r="K890" s="1">
        <f t="shared" si="111"/>
        <v>117.30628289814246</v>
      </c>
      <c r="L890" s="1"/>
      <c r="M890" s="3"/>
      <c r="N890" s="3"/>
      <c r="O890" s="3"/>
      <c r="P890" s="3"/>
      <c r="Q890" s="3"/>
      <c r="R890" s="1"/>
    </row>
    <row r="891" spans="2:18" x14ac:dyDescent="0.2">
      <c r="B891">
        <v>879</v>
      </c>
      <c r="C891" s="1">
        <v>1.1726842417530321</v>
      </c>
      <c r="D891" s="1">
        <f t="shared" si="105"/>
        <v>177.46629987664329</v>
      </c>
      <c r="E891" s="18">
        <f t="shared" si="112"/>
        <v>-60.016413459277487</v>
      </c>
      <c r="F891" s="1">
        <f t="shared" si="110"/>
        <v>117.4498864173658</v>
      </c>
      <c r="G891" s="9">
        <f t="shared" si="106"/>
        <v>0</v>
      </c>
      <c r="H891" s="9">
        <f t="shared" si="107"/>
        <v>80</v>
      </c>
      <c r="I891" s="9">
        <f t="shared" si="108"/>
        <v>22.469931850419481</v>
      </c>
      <c r="J891" s="9">
        <f t="shared" si="109"/>
        <v>14.979954566946322</v>
      </c>
      <c r="K891" s="1">
        <f t="shared" si="111"/>
        <v>117.4498864173658</v>
      </c>
      <c r="L891" s="1"/>
      <c r="M891" s="3"/>
      <c r="N891" s="3"/>
      <c r="O891" s="3"/>
      <c r="P891" s="3"/>
      <c r="Q891" s="3"/>
      <c r="R891" s="1"/>
    </row>
    <row r="892" spans="2:18" x14ac:dyDescent="0.2">
      <c r="B892">
        <v>880</v>
      </c>
      <c r="C892" s="1">
        <v>1.1769622879915922</v>
      </c>
      <c r="D892" s="1">
        <f t="shared" si="105"/>
        <v>177.92241042681778</v>
      </c>
      <c r="E892" s="18">
        <f t="shared" si="112"/>
        <v>-60.016413459277487</v>
      </c>
      <c r="F892" s="1">
        <f t="shared" si="110"/>
        <v>117.90599696754029</v>
      </c>
      <c r="G892" s="9">
        <f t="shared" si="106"/>
        <v>0</v>
      </c>
      <c r="H892" s="9">
        <f t="shared" si="107"/>
        <v>80</v>
      </c>
      <c r="I892" s="9">
        <f t="shared" si="108"/>
        <v>22.743598180524174</v>
      </c>
      <c r="J892" s="9">
        <f t="shared" si="109"/>
        <v>15.162398787016116</v>
      </c>
      <c r="K892" s="1">
        <f t="shared" si="111"/>
        <v>117.90599696754029</v>
      </c>
      <c r="L892" s="1"/>
      <c r="M892" s="3"/>
      <c r="N892" s="3"/>
      <c r="O892" s="3"/>
      <c r="P892" s="3"/>
      <c r="Q892" s="3"/>
      <c r="R892" s="1"/>
    </row>
    <row r="893" spans="2:18" x14ac:dyDescent="0.2">
      <c r="B893">
        <v>881</v>
      </c>
      <c r="C893" s="1">
        <v>1.17749831499387</v>
      </c>
      <c r="D893" s="1">
        <f t="shared" si="105"/>
        <v>177.9796423594623</v>
      </c>
      <c r="E893" s="18">
        <f t="shared" si="112"/>
        <v>-60.016413459277487</v>
      </c>
      <c r="F893" s="1">
        <f t="shared" si="110"/>
        <v>117.96322890018482</v>
      </c>
      <c r="G893" s="9">
        <f t="shared" si="106"/>
        <v>0</v>
      </c>
      <c r="H893" s="9">
        <f t="shared" si="107"/>
        <v>80</v>
      </c>
      <c r="I893" s="9">
        <f t="shared" si="108"/>
        <v>22.777937340110888</v>
      </c>
      <c r="J893" s="9">
        <f t="shared" si="109"/>
        <v>15.185291560073928</v>
      </c>
      <c r="K893" s="1">
        <f t="shared" si="111"/>
        <v>117.96322890018482</v>
      </c>
      <c r="L893" s="1"/>
      <c r="M893" s="3"/>
      <c r="N893" s="3"/>
      <c r="O893" s="3"/>
      <c r="P893" s="3"/>
      <c r="Q893" s="3"/>
      <c r="R893" s="1"/>
    </row>
    <row r="894" spans="2:18" x14ac:dyDescent="0.2">
      <c r="B894">
        <v>882</v>
      </c>
      <c r="C894" s="1">
        <v>1.1945201466445008</v>
      </c>
      <c r="D894" s="1">
        <f t="shared" si="105"/>
        <v>179.80668004240897</v>
      </c>
      <c r="E894" s="18">
        <f t="shared" si="112"/>
        <v>-60.016413459277487</v>
      </c>
      <c r="F894" s="1">
        <f t="shared" si="110"/>
        <v>119.79026658313148</v>
      </c>
      <c r="G894" s="9">
        <f t="shared" si="106"/>
        <v>0</v>
      </c>
      <c r="H894" s="9">
        <f t="shared" si="107"/>
        <v>80</v>
      </c>
      <c r="I894" s="9">
        <f t="shared" si="108"/>
        <v>23.874159949878891</v>
      </c>
      <c r="J894" s="9">
        <f t="shared" si="109"/>
        <v>15.916106633252594</v>
      </c>
      <c r="K894" s="1">
        <f t="shared" si="111"/>
        <v>119.79026658313148</v>
      </c>
      <c r="L894" s="1"/>
      <c r="M894" s="3"/>
      <c r="N894" s="3"/>
      <c r="O894" s="3"/>
      <c r="P894" s="3"/>
      <c r="Q894" s="3"/>
      <c r="R894" s="1"/>
    </row>
    <row r="895" spans="2:18" x14ac:dyDescent="0.2">
      <c r="B895">
        <v>883</v>
      </c>
      <c r="C895" s="1">
        <v>1.2025430451018004</v>
      </c>
      <c r="D895" s="1">
        <f t="shared" si="105"/>
        <v>180.67430907846301</v>
      </c>
      <c r="E895" s="18">
        <f t="shared" si="112"/>
        <v>-60.016413459277487</v>
      </c>
      <c r="F895" s="1">
        <f t="shared" si="110"/>
        <v>120.65789561918552</v>
      </c>
      <c r="G895" s="9">
        <f t="shared" si="106"/>
        <v>0</v>
      </c>
      <c r="H895" s="9">
        <f t="shared" si="107"/>
        <v>80</v>
      </c>
      <c r="I895" s="9">
        <f t="shared" si="108"/>
        <v>24.394737371511315</v>
      </c>
      <c r="J895" s="9">
        <f t="shared" si="109"/>
        <v>16.263158247674209</v>
      </c>
      <c r="K895" s="1">
        <f t="shared" si="111"/>
        <v>120.65789561918552</v>
      </c>
      <c r="L895" s="1"/>
      <c r="M895" s="3"/>
      <c r="N895" s="3"/>
      <c r="O895" s="3"/>
      <c r="P895" s="3"/>
      <c r="Q895" s="3"/>
      <c r="R895" s="1"/>
    </row>
    <row r="896" spans="2:18" x14ac:dyDescent="0.2">
      <c r="B896">
        <v>884</v>
      </c>
      <c r="C896" s="1">
        <v>1.2034375565279816</v>
      </c>
      <c r="D896" s="1">
        <f t="shared" si="105"/>
        <v>180.77130424545308</v>
      </c>
      <c r="E896" s="18">
        <f t="shared" si="112"/>
        <v>-60.016413459277487</v>
      </c>
      <c r="F896" s="1">
        <f t="shared" si="110"/>
        <v>120.75489078617559</v>
      </c>
      <c r="G896" s="9">
        <f t="shared" si="106"/>
        <v>0</v>
      </c>
      <c r="H896" s="9">
        <f t="shared" si="107"/>
        <v>80</v>
      </c>
      <c r="I896" s="9">
        <f t="shared" si="108"/>
        <v>24.452934471705355</v>
      </c>
      <c r="J896" s="9">
        <f t="shared" si="109"/>
        <v>16.301956314470239</v>
      </c>
      <c r="K896" s="1">
        <f t="shared" si="111"/>
        <v>120.75489078617559</v>
      </c>
      <c r="L896" s="1"/>
      <c r="M896" s="3"/>
      <c r="N896" s="3"/>
      <c r="O896" s="3"/>
      <c r="P896" s="3"/>
      <c r="Q896" s="3"/>
      <c r="R896" s="1"/>
    </row>
    <row r="897" spans="2:18" x14ac:dyDescent="0.2">
      <c r="B897">
        <v>885</v>
      </c>
      <c r="C897" s="1">
        <v>1.2212698566923175</v>
      </c>
      <c r="D897" s="1">
        <f t="shared" si="105"/>
        <v>182.71582919607056</v>
      </c>
      <c r="E897" s="18">
        <f t="shared" si="112"/>
        <v>-60.016413459277487</v>
      </c>
      <c r="F897" s="1">
        <f t="shared" si="110"/>
        <v>122.69941573679307</v>
      </c>
      <c r="G897" s="9">
        <f t="shared" si="106"/>
        <v>0</v>
      </c>
      <c r="H897" s="9">
        <f t="shared" si="107"/>
        <v>80</v>
      </c>
      <c r="I897" s="9">
        <f t="shared" si="108"/>
        <v>25.619649442075843</v>
      </c>
      <c r="J897" s="9">
        <f t="shared" si="109"/>
        <v>17.079766294717228</v>
      </c>
      <c r="K897" s="1">
        <f t="shared" si="111"/>
        <v>122.69941573679307</v>
      </c>
      <c r="L897" s="1"/>
      <c r="M897" s="3"/>
      <c r="N897" s="3"/>
      <c r="O897" s="3"/>
      <c r="P897" s="3"/>
      <c r="Q897" s="3"/>
      <c r="R897" s="1"/>
    </row>
    <row r="898" spans="2:18" x14ac:dyDescent="0.2">
      <c r="B898">
        <v>886</v>
      </c>
      <c r="C898" s="1">
        <v>1.2216849287561087</v>
      </c>
      <c r="D898" s="1">
        <f t="shared" si="105"/>
        <v>182.76133900457742</v>
      </c>
      <c r="E898" s="18">
        <f t="shared" si="112"/>
        <v>-60.016413459277487</v>
      </c>
      <c r="F898" s="1">
        <f t="shared" si="110"/>
        <v>122.74492554529994</v>
      </c>
      <c r="G898" s="9">
        <f t="shared" si="106"/>
        <v>0</v>
      </c>
      <c r="H898" s="9">
        <f t="shared" si="107"/>
        <v>80</v>
      </c>
      <c r="I898" s="9">
        <f t="shared" si="108"/>
        <v>25.64695532717996</v>
      </c>
      <c r="J898" s="9">
        <f t="shared" si="109"/>
        <v>17.097970218119976</v>
      </c>
      <c r="K898" s="1">
        <f t="shared" si="111"/>
        <v>122.74492554529994</v>
      </c>
      <c r="L898" s="1"/>
      <c r="M898" s="3"/>
      <c r="N898" s="3"/>
      <c r="O898" s="3"/>
      <c r="P898" s="3"/>
      <c r="Q898" s="3"/>
      <c r="R898" s="1"/>
    </row>
    <row r="899" spans="2:18" x14ac:dyDescent="0.2">
      <c r="B899">
        <v>887</v>
      </c>
      <c r="C899" s="1">
        <v>1.2254005349750579</v>
      </c>
      <c r="D899" s="1">
        <f t="shared" si="105"/>
        <v>183.1692350105927</v>
      </c>
      <c r="E899" s="18">
        <f t="shared" si="112"/>
        <v>-60.016413459277487</v>
      </c>
      <c r="F899" s="1">
        <f t="shared" si="110"/>
        <v>123.15282155131521</v>
      </c>
      <c r="G899" s="9">
        <f t="shared" si="106"/>
        <v>0</v>
      </c>
      <c r="H899" s="9">
        <f t="shared" si="107"/>
        <v>80</v>
      </c>
      <c r="I899" s="9">
        <f t="shared" si="108"/>
        <v>25.891692930789127</v>
      </c>
      <c r="J899" s="9">
        <f t="shared" si="109"/>
        <v>17.261128620526087</v>
      </c>
      <c r="K899" s="1">
        <f t="shared" si="111"/>
        <v>123.15282155131521</v>
      </c>
      <c r="L899" s="1"/>
      <c r="M899" s="3"/>
      <c r="N899" s="3"/>
      <c r="O899" s="3"/>
      <c r="P899" s="3"/>
      <c r="Q899" s="3"/>
      <c r="R899" s="1"/>
    </row>
    <row r="900" spans="2:18" x14ac:dyDescent="0.2">
      <c r="B900">
        <v>888</v>
      </c>
      <c r="C900" s="1">
        <v>1.2296194652441117</v>
      </c>
      <c r="D900" s="1">
        <f t="shared" si="105"/>
        <v>183.63348929759627</v>
      </c>
      <c r="E900" s="18">
        <f t="shared" si="112"/>
        <v>-60.016413459277487</v>
      </c>
      <c r="F900" s="1">
        <f t="shared" si="110"/>
        <v>123.61707583831878</v>
      </c>
      <c r="G900" s="9">
        <f t="shared" si="106"/>
        <v>0</v>
      </c>
      <c r="H900" s="9">
        <f t="shared" si="107"/>
        <v>80</v>
      </c>
      <c r="I900" s="9">
        <f t="shared" si="108"/>
        <v>26.170245502991268</v>
      </c>
      <c r="J900" s="9">
        <f t="shared" si="109"/>
        <v>17.446830335327515</v>
      </c>
      <c r="K900" s="1">
        <f t="shared" si="111"/>
        <v>123.61707583831878</v>
      </c>
      <c r="L900" s="1"/>
      <c r="M900" s="3"/>
      <c r="N900" s="3"/>
      <c r="O900" s="3"/>
      <c r="P900" s="3"/>
      <c r="Q900" s="3"/>
      <c r="R900" s="1"/>
    </row>
    <row r="901" spans="2:18" x14ac:dyDescent="0.2">
      <c r="B901">
        <v>889</v>
      </c>
      <c r="C901" s="1">
        <v>1.2354122514158656</v>
      </c>
      <c r="D901" s="1">
        <f t="shared" si="105"/>
        <v>184.27284947948868</v>
      </c>
      <c r="E901" s="18">
        <f t="shared" si="112"/>
        <v>-60.016413459277487</v>
      </c>
      <c r="F901" s="1">
        <f t="shared" si="110"/>
        <v>124.2564360202112</v>
      </c>
      <c r="G901" s="9">
        <f t="shared" si="106"/>
        <v>0</v>
      </c>
      <c r="H901" s="9">
        <f t="shared" si="107"/>
        <v>80</v>
      </c>
      <c r="I901" s="9">
        <f t="shared" si="108"/>
        <v>26.553861612126717</v>
      </c>
      <c r="J901" s="9">
        <f t="shared" si="109"/>
        <v>17.70257440808448</v>
      </c>
      <c r="K901" s="1">
        <f t="shared" si="111"/>
        <v>124.2564360202112</v>
      </c>
      <c r="L901" s="1"/>
      <c r="M901" s="3"/>
      <c r="N901" s="3"/>
      <c r="O901" s="3"/>
      <c r="P901" s="3"/>
      <c r="Q901" s="3"/>
      <c r="R901" s="1"/>
    </row>
    <row r="902" spans="2:18" x14ac:dyDescent="0.2">
      <c r="B902">
        <v>890</v>
      </c>
      <c r="C902" s="1">
        <v>1.2455580567715563</v>
      </c>
      <c r="D902" s="1">
        <f t="shared" si="105"/>
        <v>185.39802863731356</v>
      </c>
      <c r="E902" s="18">
        <f t="shared" si="112"/>
        <v>-60.016413459277487</v>
      </c>
      <c r="F902" s="1">
        <f t="shared" si="110"/>
        <v>125.38161517803607</v>
      </c>
      <c r="G902" s="9">
        <f t="shared" si="106"/>
        <v>0</v>
      </c>
      <c r="H902" s="9">
        <f t="shared" si="107"/>
        <v>80</v>
      </c>
      <c r="I902" s="9">
        <f t="shared" si="108"/>
        <v>27.228969106821641</v>
      </c>
      <c r="J902" s="9">
        <f t="shared" si="109"/>
        <v>18.152646071214431</v>
      </c>
      <c r="K902" s="1">
        <f t="shared" si="111"/>
        <v>125.38161517803607</v>
      </c>
      <c r="L902" s="1"/>
      <c r="M902" s="3"/>
      <c r="N902" s="3"/>
      <c r="O902" s="3"/>
      <c r="P902" s="3"/>
      <c r="Q902" s="3"/>
      <c r="R902" s="1"/>
    </row>
    <row r="903" spans="2:18" x14ac:dyDescent="0.2">
      <c r="B903">
        <v>891</v>
      </c>
      <c r="C903" s="1">
        <v>1.257769431762928</v>
      </c>
      <c r="D903" s="1">
        <f t="shared" si="105"/>
        <v>186.76139602559317</v>
      </c>
      <c r="E903" s="18">
        <f t="shared" si="112"/>
        <v>-60.016413459277487</v>
      </c>
      <c r="F903" s="1">
        <f t="shared" si="110"/>
        <v>126.74498256631568</v>
      </c>
      <c r="G903" s="9">
        <f t="shared" si="106"/>
        <v>0</v>
      </c>
      <c r="H903" s="9">
        <f t="shared" si="107"/>
        <v>80</v>
      </c>
      <c r="I903" s="9">
        <f t="shared" si="108"/>
        <v>28.046989539789411</v>
      </c>
      <c r="J903" s="9">
        <f t="shared" si="109"/>
        <v>18.697993026526273</v>
      </c>
      <c r="K903" s="1">
        <f t="shared" si="111"/>
        <v>126.74498256631568</v>
      </c>
      <c r="L903" s="1"/>
      <c r="M903" s="3"/>
      <c r="N903" s="3"/>
      <c r="O903" s="3"/>
      <c r="P903" s="3"/>
      <c r="Q903" s="3"/>
      <c r="R903" s="1"/>
    </row>
    <row r="904" spans="2:18" x14ac:dyDescent="0.2">
      <c r="B904">
        <v>892</v>
      </c>
      <c r="C904" s="1">
        <v>1.2617720491832425</v>
      </c>
      <c r="D904" s="1">
        <f t="shared" si="105"/>
        <v>187.2104556842707</v>
      </c>
      <c r="E904" s="18">
        <f t="shared" si="112"/>
        <v>-60.016413459277487</v>
      </c>
      <c r="F904" s="1">
        <f t="shared" si="110"/>
        <v>127.19404222499321</v>
      </c>
      <c r="G904" s="9">
        <f t="shared" si="106"/>
        <v>0</v>
      </c>
      <c r="H904" s="9">
        <f t="shared" si="107"/>
        <v>80</v>
      </c>
      <c r="I904" s="9">
        <f t="shared" si="108"/>
        <v>28.316425334995927</v>
      </c>
      <c r="J904" s="9">
        <f t="shared" si="109"/>
        <v>18.877616889997284</v>
      </c>
      <c r="K904" s="1">
        <f t="shared" si="111"/>
        <v>127.19404222499321</v>
      </c>
      <c r="L904" s="1"/>
      <c r="M904" s="3"/>
      <c r="N904" s="3"/>
      <c r="O904" s="3"/>
      <c r="P904" s="3"/>
      <c r="Q904" s="3"/>
      <c r="R904" s="1"/>
    </row>
    <row r="905" spans="2:18" x14ac:dyDescent="0.2">
      <c r="B905">
        <v>893</v>
      </c>
      <c r="C905" s="1">
        <v>1.2647627185367682</v>
      </c>
      <c r="D905" s="1">
        <f t="shared" si="105"/>
        <v>187.54668800544613</v>
      </c>
      <c r="E905" s="18">
        <f t="shared" si="112"/>
        <v>-60.016413459277487</v>
      </c>
      <c r="F905" s="1">
        <f t="shared" si="110"/>
        <v>127.53027454616864</v>
      </c>
      <c r="G905" s="9">
        <f t="shared" si="106"/>
        <v>0</v>
      </c>
      <c r="H905" s="9">
        <f t="shared" si="107"/>
        <v>80</v>
      </c>
      <c r="I905" s="9">
        <f t="shared" si="108"/>
        <v>28.518164727701183</v>
      </c>
      <c r="J905" s="9">
        <f t="shared" si="109"/>
        <v>19.012109818467458</v>
      </c>
      <c r="K905" s="1">
        <f t="shared" si="111"/>
        <v>127.53027454616864</v>
      </c>
      <c r="L905" s="1"/>
      <c r="M905" s="3"/>
      <c r="N905" s="3"/>
      <c r="O905" s="3"/>
      <c r="P905" s="3"/>
      <c r="Q905" s="3"/>
      <c r="R905" s="1"/>
    </row>
    <row r="906" spans="2:18" x14ac:dyDescent="0.2">
      <c r="B906">
        <v>894</v>
      </c>
      <c r="C906" s="1">
        <v>1.2687278679291216</v>
      </c>
      <c r="D906" s="1">
        <f t="shared" si="105"/>
        <v>187.99340957165361</v>
      </c>
      <c r="E906" s="18">
        <f t="shared" si="112"/>
        <v>-60.016413459277487</v>
      </c>
      <c r="F906" s="1">
        <f t="shared" si="110"/>
        <v>127.97699611237613</v>
      </c>
      <c r="G906" s="9">
        <f t="shared" si="106"/>
        <v>0</v>
      </c>
      <c r="H906" s="9">
        <f t="shared" si="107"/>
        <v>80</v>
      </c>
      <c r="I906" s="9">
        <f t="shared" si="108"/>
        <v>28.786197667425675</v>
      </c>
      <c r="J906" s="9">
        <f t="shared" si="109"/>
        <v>19.190798444950453</v>
      </c>
      <c r="K906" s="1">
        <f t="shared" si="111"/>
        <v>127.97699611237613</v>
      </c>
      <c r="L906" s="1"/>
      <c r="M906" s="3"/>
      <c r="N906" s="3"/>
      <c r="O906" s="3"/>
      <c r="P906" s="3"/>
      <c r="Q906" s="3"/>
      <c r="R906" s="1"/>
    </row>
    <row r="907" spans="2:18" x14ac:dyDescent="0.2">
      <c r="B907">
        <v>895</v>
      </c>
      <c r="C907" s="1">
        <v>1.2697474996285212</v>
      </c>
      <c r="D907" s="1">
        <f t="shared" si="105"/>
        <v>188.1084551831176</v>
      </c>
      <c r="E907" s="18">
        <f t="shared" si="112"/>
        <v>-60.016413459277487</v>
      </c>
      <c r="F907" s="1">
        <f t="shared" si="110"/>
        <v>128.09204172384011</v>
      </c>
      <c r="G907" s="9">
        <f t="shared" si="106"/>
        <v>0</v>
      </c>
      <c r="H907" s="9">
        <f t="shared" si="107"/>
        <v>80</v>
      </c>
      <c r="I907" s="9">
        <f t="shared" si="108"/>
        <v>28.855225034304066</v>
      </c>
      <c r="J907" s="9">
        <f t="shared" si="109"/>
        <v>19.236816689536045</v>
      </c>
      <c r="K907" s="1">
        <f t="shared" si="111"/>
        <v>128.09204172384011</v>
      </c>
      <c r="L907" s="1"/>
      <c r="M907" s="3"/>
      <c r="N907" s="3"/>
      <c r="O907" s="3"/>
      <c r="P907" s="3"/>
      <c r="Q907" s="3"/>
      <c r="R907" s="1"/>
    </row>
    <row r="908" spans="2:18" x14ac:dyDescent="0.2">
      <c r="B908">
        <v>896</v>
      </c>
      <c r="C908" s="1">
        <v>1.2738833202602404</v>
      </c>
      <c r="D908" s="1">
        <f t="shared" si="105"/>
        <v>188.57582452798891</v>
      </c>
      <c r="E908" s="18">
        <f t="shared" si="112"/>
        <v>-60.016413459277487</v>
      </c>
      <c r="F908" s="1">
        <f t="shared" si="110"/>
        <v>128.55941106871143</v>
      </c>
      <c r="G908" s="9">
        <f t="shared" si="106"/>
        <v>0</v>
      </c>
      <c r="H908" s="9">
        <f t="shared" si="107"/>
        <v>80</v>
      </c>
      <c r="I908" s="9">
        <f t="shared" si="108"/>
        <v>29.135646641226856</v>
      </c>
      <c r="J908" s="9">
        <f t="shared" si="109"/>
        <v>19.423764427484571</v>
      </c>
      <c r="K908" s="1">
        <f t="shared" si="111"/>
        <v>128.55941106871143</v>
      </c>
      <c r="L908" s="1"/>
      <c r="M908" s="3"/>
      <c r="N908" s="3"/>
      <c r="O908" s="3"/>
      <c r="P908" s="3"/>
      <c r="Q908" s="3"/>
      <c r="R908" s="1"/>
    </row>
    <row r="909" spans="2:18" x14ac:dyDescent="0.2">
      <c r="B909">
        <v>897</v>
      </c>
      <c r="C909" s="1">
        <v>1.2764600206358199</v>
      </c>
      <c r="D909" s="1">
        <f t="shared" ref="D909:D972" si="113">a0*EXP((RR-0.5*sigma^2)*T+sigma*SQRT(T)*C909)</f>
        <v>188.86759204784951</v>
      </c>
      <c r="E909" s="18">
        <f t="shared" si="112"/>
        <v>-60.016413459277487</v>
      </c>
      <c r="F909" s="1">
        <f t="shared" si="110"/>
        <v>128.85117858857203</v>
      </c>
      <c r="G909" s="9">
        <f t="shared" ref="G909:G972" si="114">IF(F909&lt;F,MIN(disc,F909),0)</f>
        <v>0</v>
      </c>
      <c r="H909" s="9">
        <f t="shared" ref="H909:H972" si="115">IF(F909&gt;=F,F,F909-G909)</f>
        <v>80</v>
      </c>
      <c r="I909" s="9">
        <f t="shared" ref="I909:I972" si="116">(1-tax)*(F909-G909-H909)</f>
        <v>29.310707153143213</v>
      </c>
      <c r="J909" s="9">
        <f t="shared" ref="J909:J972" si="117">tax*(F909-G909-H909)</f>
        <v>19.540471435428813</v>
      </c>
      <c r="K909" s="1">
        <f t="shared" si="111"/>
        <v>128.85117858857203</v>
      </c>
      <c r="L909" s="1"/>
      <c r="M909" s="3"/>
      <c r="N909" s="3"/>
      <c r="O909" s="3"/>
      <c r="P909" s="3"/>
      <c r="Q909" s="3"/>
      <c r="R909" s="1"/>
    </row>
    <row r="910" spans="2:18" x14ac:dyDescent="0.2">
      <c r="B910">
        <v>898</v>
      </c>
      <c r="C910" s="1">
        <v>1.27868144894839</v>
      </c>
      <c r="D910" s="1">
        <f t="shared" si="113"/>
        <v>189.11949337456039</v>
      </c>
      <c r="E910" s="18">
        <f t="shared" si="112"/>
        <v>-60.016413459277487</v>
      </c>
      <c r="F910" s="1">
        <f t="shared" ref="F910:F973" si="118">D910+E910</f>
        <v>129.1030799152829</v>
      </c>
      <c r="G910" s="9">
        <f t="shared" si="114"/>
        <v>0</v>
      </c>
      <c r="H910" s="9">
        <f t="shared" si="115"/>
        <v>80</v>
      </c>
      <c r="I910" s="9">
        <f t="shared" si="116"/>
        <v>29.461847949169741</v>
      </c>
      <c r="J910" s="9">
        <f t="shared" si="117"/>
        <v>19.641231966113164</v>
      </c>
      <c r="K910" s="1">
        <f t="shared" ref="K910:K973" si="119">SUM(G910:J910)</f>
        <v>129.1030799152829</v>
      </c>
      <c r="L910" s="1"/>
      <c r="M910" s="3"/>
      <c r="N910" s="3"/>
      <c r="O910" s="3"/>
      <c r="P910" s="3"/>
      <c r="Q910" s="3"/>
      <c r="R910" s="1"/>
    </row>
    <row r="911" spans="2:18" x14ac:dyDescent="0.2">
      <c r="B911">
        <v>899</v>
      </c>
      <c r="C911" s="1">
        <v>1.281604718566157</v>
      </c>
      <c r="D911" s="1">
        <f t="shared" si="113"/>
        <v>189.45149280807004</v>
      </c>
      <c r="E911" s="18">
        <f t="shared" si="112"/>
        <v>-60.016413459277487</v>
      </c>
      <c r="F911" s="1">
        <f t="shared" si="118"/>
        <v>129.43507934879256</v>
      </c>
      <c r="G911" s="9">
        <f t="shared" si="114"/>
        <v>0</v>
      </c>
      <c r="H911" s="9">
        <f t="shared" si="115"/>
        <v>80</v>
      </c>
      <c r="I911" s="9">
        <f t="shared" si="116"/>
        <v>29.661047609275531</v>
      </c>
      <c r="J911" s="9">
        <f t="shared" si="117"/>
        <v>19.774031739517024</v>
      </c>
      <c r="K911" s="1">
        <f t="shared" si="119"/>
        <v>129.43507934879256</v>
      </c>
      <c r="L911" s="1"/>
      <c r="M911" s="3"/>
      <c r="N911" s="3"/>
      <c r="O911" s="3"/>
      <c r="P911" s="3"/>
      <c r="Q911" s="3"/>
      <c r="R911" s="1"/>
    </row>
    <row r="912" spans="2:18" x14ac:dyDescent="0.2">
      <c r="B912">
        <v>900</v>
      </c>
      <c r="C912" s="1">
        <v>1.2852924324377673</v>
      </c>
      <c r="D912" s="1">
        <f t="shared" si="113"/>
        <v>189.87114264023012</v>
      </c>
      <c r="E912" s="18">
        <f t="shared" si="112"/>
        <v>-60.016413459277487</v>
      </c>
      <c r="F912" s="1">
        <f t="shared" si="118"/>
        <v>129.85472918095263</v>
      </c>
      <c r="G912" s="9">
        <f t="shared" si="114"/>
        <v>0</v>
      </c>
      <c r="H912" s="9">
        <f t="shared" si="115"/>
        <v>80</v>
      </c>
      <c r="I912" s="9">
        <f t="shared" si="116"/>
        <v>29.912837508571577</v>
      </c>
      <c r="J912" s="9">
        <f t="shared" si="117"/>
        <v>19.941891672381054</v>
      </c>
      <c r="K912" s="1">
        <f t="shared" si="119"/>
        <v>129.85472918095263</v>
      </c>
      <c r="L912" s="1"/>
      <c r="M912" s="3"/>
      <c r="N912" s="3"/>
      <c r="O912" s="3"/>
      <c r="P912" s="3"/>
      <c r="Q912" s="3"/>
      <c r="R912" s="1"/>
    </row>
    <row r="913" spans="2:18" x14ac:dyDescent="0.2">
      <c r="B913">
        <v>901</v>
      </c>
      <c r="C913" s="1">
        <v>1.296484104923681</v>
      </c>
      <c r="D913" s="1">
        <f t="shared" si="113"/>
        <v>191.1504183895546</v>
      </c>
      <c r="E913" s="18">
        <f t="shared" si="112"/>
        <v>-60.016413459277487</v>
      </c>
      <c r="F913" s="1">
        <f t="shared" si="118"/>
        <v>131.13400493027711</v>
      </c>
      <c r="G913" s="9">
        <f t="shared" si="114"/>
        <v>0</v>
      </c>
      <c r="H913" s="9">
        <f t="shared" si="115"/>
        <v>80</v>
      </c>
      <c r="I913" s="9">
        <f t="shared" si="116"/>
        <v>30.680402958166269</v>
      </c>
      <c r="J913" s="9">
        <f t="shared" si="117"/>
        <v>20.453601972110846</v>
      </c>
      <c r="K913" s="1">
        <f t="shared" si="119"/>
        <v>131.13400493027711</v>
      </c>
      <c r="L913" s="1"/>
      <c r="M913" s="3"/>
      <c r="N913" s="3"/>
      <c r="O913" s="3"/>
      <c r="P913" s="3"/>
      <c r="Q913" s="3"/>
      <c r="R913" s="1"/>
    </row>
    <row r="914" spans="2:18" x14ac:dyDescent="0.2">
      <c r="B914">
        <v>902</v>
      </c>
      <c r="C914" s="1">
        <v>1.3095494370758487</v>
      </c>
      <c r="D914" s="1">
        <f t="shared" si="113"/>
        <v>192.65477337928542</v>
      </c>
      <c r="E914" s="18">
        <f t="shared" si="112"/>
        <v>-60.016413459277487</v>
      </c>
      <c r="F914" s="1">
        <f t="shared" si="118"/>
        <v>132.63835992000793</v>
      </c>
      <c r="G914" s="9">
        <f t="shared" si="114"/>
        <v>0</v>
      </c>
      <c r="H914" s="9">
        <f t="shared" si="115"/>
        <v>80</v>
      </c>
      <c r="I914" s="9">
        <f t="shared" si="116"/>
        <v>31.583015952004757</v>
      </c>
      <c r="J914" s="9">
        <f t="shared" si="117"/>
        <v>21.055343968003172</v>
      </c>
      <c r="K914" s="1">
        <f t="shared" si="119"/>
        <v>132.63835992000793</v>
      </c>
      <c r="L914" s="1"/>
      <c r="M914" s="3"/>
      <c r="N914" s="3"/>
      <c r="O914" s="3"/>
      <c r="P914" s="3"/>
      <c r="Q914" s="3"/>
      <c r="R914" s="1"/>
    </row>
    <row r="915" spans="2:18" x14ac:dyDescent="0.2">
      <c r="B915">
        <v>903</v>
      </c>
      <c r="C915" s="1">
        <v>1.3123149719313609</v>
      </c>
      <c r="D915" s="1">
        <f t="shared" si="113"/>
        <v>192.97471484317407</v>
      </c>
      <c r="E915" s="18">
        <f t="shared" si="112"/>
        <v>-60.016413459277487</v>
      </c>
      <c r="F915" s="1">
        <f t="shared" si="118"/>
        <v>132.95830138389658</v>
      </c>
      <c r="G915" s="9">
        <f t="shared" si="114"/>
        <v>0</v>
      </c>
      <c r="H915" s="9">
        <f t="shared" si="115"/>
        <v>80</v>
      </c>
      <c r="I915" s="9">
        <f t="shared" si="116"/>
        <v>31.774980830337949</v>
      </c>
      <c r="J915" s="9">
        <f t="shared" si="117"/>
        <v>21.183320553558634</v>
      </c>
      <c r="K915" s="1">
        <f t="shared" si="119"/>
        <v>132.95830138389658</v>
      </c>
      <c r="L915" s="1"/>
      <c r="M915" s="3"/>
      <c r="N915" s="3"/>
      <c r="O915" s="3"/>
      <c r="P915" s="3"/>
      <c r="Q915" s="3"/>
      <c r="R915" s="1"/>
    </row>
    <row r="916" spans="2:18" x14ac:dyDescent="0.2">
      <c r="B916">
        <v>904</v>
      </c>
      <c r="C916" s="1">
        <v>1.3144799266111062</v>
      </c>
      <c r="D916" s="1">
        <f t="shared" si="113"/>
        <v>193.22554662692096</v>
      </c>
      <c r="E916" s="18">
        <f t="shared" si="112"/>
        <v>-60.016413459277487</v>
      </c>
      <c r="F916" s="1">
        <f t="shared" si="118"/>
        <v>133.20913316764347</v>
      </c>
      <c r="G916" s="9">
        <f t="shared" si="114"/>
        <v>0</v>
      </c>
      <c r="H916" s="9">
        <f t="shared" si="115"/>
        <v>80</v>
      </c>
      <c r="I916" s="9">
        <f t="shared" si="116"/>
        <v>31.925479900586083</v>
      </c>
      <c r="J916" s="9">
        <f t="shared" si="117"/>
        <v>21.283653267057389</v>
      </c>
      <c r="K916" s="1">
        <f t="shared" si="119"/>
        <v>133.20913316764347</v>
      </c>
      <c r="L916" s="1"/>
      <c r="M916" s="3"/>
      <c r="N916" s="3"/>
      <c r="O916" s="3"/>
      <c r="P916" s="3"/>
      <c r="Q916" s="3"/>
      <c r="R916" s="1"/>
    </row>
    <row r="917" spans="2:18" x14ac:dyDescent="0.2">
      <c r="B917">
        <v>905</v>
      </c>
      <c r="C917" s="1">
        <v>1.3254396782189568</v>
      </c>
      <c r="D917" s="1">
        <f t="shared" si="113"/>
        <v>194.50035590828324</v>
      </c>
      <c r="E917" s="18">
        <f t="shared" si="112"/>
        <v>-60.016413459277487</v>
      </c>
      <c r="F917" s="1">
        <f t="shared" si="118"/>
        <v>134.48394244900575</v>
      </c>
      <c r="G917" s="9">
        <f t="shared" si="114"/>
        <v>0</v>
      </c>
      <c r="H917" s="9">
        <f t="shared" si="115"/>
        <v>80</v>
      </c>
      <c r="I917" s="9">
        <f t="shared" si="116"/>
        <v>32.690365469403453</v>
      </c>
      <c r="J917" s="9">
        <f t="shared" si="117"/>
        <v>21.793576979602303</v>
      </c>
      <c r="K917" s="1">
        <f t="shared" si="119"/>
        <v>134.48394244900575</v>
      </c>
      <c r="L917" s="1"/>
      <c r="M917" s="3"/>
      <c r="N917" s="3"/>
      <c r="O917" s="3"/>
      <c r="P917" s="3"/>
      <c r="Q917" s="3"/>
      <c r="R917" s="1"/>
    </row>
    <row r="918" spans="2:18" x14ac:dyDescent="0.2">
      <c r="B918">
        <v>906</v>
      </c>
      <c r="C918" s="1">
        <v>1.3297320436085969</v>
      </c>
      <c r="D918" s="1">
        <f t="shared" si="113"/>
        <v>195.00192145941963</v>
      </c>
      <c r="E918" s="18">
        <f t="shared" si="112"/>
        <v>-60.016413459277487</v>
      </c>
      <c r="F918" s="1">
        <f t="shared" si="118"/>
        <v>134.98550800014215</v>
      </c>
      <c r="G918" s="9">
        <f t="shared" si="114"/>
        <v>0</v>
      </c>
      <c r="H918" s="9">
        <f t="shared" si="115"/>
        <v>80</v>
      </c>
      <c r="I918" s="9">
        <f t="shared" si="116"/>
        <v>32.991304800085288</v>
      </c>
      <c r="J918" s="9">
        <f t="shared" si="117"/>
        <v>21.994203200056859</v>
      </c>
      <c r="K918" s="1">
        <f t="shared" si="119"/>
        <v>134.98550800014215</v>
      </c>
      <c r="L918" s="1"/>
      <c r="M918" s="3"/>
      <c r="N918" s="3"/>
      <c r="O918" s="3"/>
      <c r="P918" s="3"/>
      <c r="Q918" s="3"/>
      <c r="R918" s="1"/>
    </row>
    <row r="919" spans="2:18" x14ac:dyDescent="0.2">
      <c r="B919">
        <v>907</v>
      </c>
      <c r="C919" s="1">
        <v>1.3373282096364529</v>
      </c>
      <c r="D919" s="1">
        <f t="shared" si="113"/>
        <v>195.8927100735753</v>
      </c>
      <c r="E919" s="18">
        <f t="shared" si="112"/>
        <v>-60.016413459277487</v>
      </c>
      <c r="F919" s="1">
        <f t="shared" si="118"/>
        <v>135.87629661429781</v>
      </c>
      <c r="G919" s="9">
        <f t="shared" si="114"/>
        <v>0</v>
      </c>
      <c r="H919" s="9">
        <f t="shared" si="115"/>
        <v>80</v>
      </c>
      <c r="I919" s="9">
        <f t="shared" si="116"/>
        <v>33.525777968578687</v>
      </c>
      <c r="J919" s="9">
        <f t="shared" si="117"/>
        <v>22.350518645719127</v>
      </c>
      <c r="K919" s="1">
        <f t="shared" si="119"/>
        <v>135.87629661429781</v>
      </c>
      <c r="L919" s="1"/>
      <c r="M919" s="3"/>
      <c r="N919" s="3"/>
      <c r="O919" s="3"/>
      <c r="P919" s="3"/>
      <c r="Q919" s="3"/>
      <c r="R919" s="1"/>
    </row>
    <row r="920" spans="2:18" x14ac:dyDescent="0.2">
      <c r="B920">
        <v>908</v>
      </c>
      <c r="C920" s="1">
        <v>1.3440224480039884</v>
      </c>
      <c r="D920" s="1">
        <f t="shared" si="113"/>
        <v>196.68110381978741</v>
      </c>
      <c r="E920" s="18">
        <f t="shared" si="112"/>
        <v>-60.016413459277487</v>
      </c>
      <c r="F920" s="1">
        <f t="shared" si="118"/>
        <v>136.66469036050992</v>
      </c>
      <c r="G920" s="9">
        <f t="shared" si="114"/>
        <v>0</v>
      </c>
      <c r="H920" s="9">
        <f t="shared" si="115"/>
        <v>80</v>
      </c>
      <c r="I920" s="9">
        <f t="shared" si="116"/>
        <v>33.998814216305952</v>
      </c>
      <c r="J920" s="9">
        <f t="shared" si="117"/>
        <v>22.66587614420397</v>
      </c>
      <c r="K920" s="1">
        <f t="shared" si="119"/>
        <v>136.66469036050992</v>
      </c>
      <c r="L920" s="1"/>
      <c r="M920" s="3"/>
      <c r="N920" s="3"/>
      <c r="O920" s="3"/>
      <c r="P920" s="3"/>
      <c r="Q920" s="3"/>
      <c r="R920" s="1"/>
    </row>
    <row r="921" spans="2:18" x14ac:dyDescent="0.2">
      <c r="B921">
        <v>909</v>
      </c>
      <c r="C921" s="1">
        <v>1.3545517212882923</v>
      </c>
      <c r="D921" s="1">
        <f t="shared" si="113"/>
        <v>197.92758248357666</v>
      </c>
      <c r="E921" s="18">
        <f t="shared" si="112"/>
        <v>-60.016413459277487</v>
      </c>
      <c r="F921" s="1">
        <f t="shared" si="118"/>
        <v>137.91116902429917</v>
      </c>
      <c r="G921" s="9">
        <f t="shared" si="114"/>
        <v>0</v>
      </c>
      <c r="H921" s="9">
        <f t="shared" si="115"/>
        <v>80</v>
      </c>
      <c r="I921" s="9">
        <f t="shared" si="116"/>
        <v>34.746701414579498</v>
      </c>
      <c r="J921" s="9">
        <f t="shared" si="117"/>
        <v>23.164467609719669</v>
      </c>
      <c r="K921" s="1">
        <f t="shared" si="119"/>
        <v>137.91116902429917</v>
      </c>
      <c r="L921" s="1"/>
      <c r="M921" s="3"/>
      <c r="N921" s="3"/>
      <c r="O921" s="3"/>
      <c r="P921" s="3"/>
      <c r="Q921" s="3"/>
      <c r="R921" s="1"/>
    </row>
    <row r="922" spans="2:18" x14ac:dyDescent="0.2">
      <c r="B922">
        <v>910</v>
      </c>
      <c r="C922" s="1">
        <v>1.3640505700507375</v>
      </c>
      <c r="D922" s="1">
        <f t="shared" si="113"/>
        <v>199.05885365669548</v>
      </c>
      <c r="E922" s="18">
        <f t="shared" si="112"/>
        <v>-60.016413459277487</v>
      </c>
      <c r="F922" s="1">
        <f t="shared" si="118"/>
        <v>139.04244019741799</v>
      </c>
      <c r="G922" s="9">
        <f t="shared" si="114"/>
        <v>0</v>
      </c>
      <c r="H922" s="9">
        <f t="shared" si="115"/>
        <v>80</v>
      </c>
      <c r="I922" s="9">
        <f t="shared" si="116"/>
        <v>35.42546411845079</v>
      </c>
      <c r="J922" s="9">
        <f t="shared" si="117"/>
        <v>23.616976078967198</v>
      </c>
      <c r="K922" s="1">
        <f t="shared" si="119"/>
        <v>139.04244019741799</v>
      </c>
      <c r="L922" s="1"/>
      <c r="M922" s="3"/>
      <c r="N922" s="3"/>
      <c r="O922" s="3"/>
      <c r="P922" s="3"/>
      <c r="Q922" s="3"/>
      <c r="R922" s="1"/>
    </row>
    <row r="923" spans="2:18" x14ac:dyDescent="0.2">
      <c r="B923">
        <v>911</v>
      </c>
      <c r="C923" s="1">
        <v>1.3712363306871438</v>
      </c>
      <c r="D923" s="1">
        <f t="shared" si="113"/>
        <v>199.91894000171635</v>
      </c>
      <c r="E923" s="18">
        <f t="shared" si="112"/>
        <v>-60.016413459277487</v>
      </c>
      <c r="F923" s="1">
        <f t="shared" si="118"/>
        <v>139.90252654243886</v>
      </c>
      <c r="G923" s="9">
        <f t="shared" si="114"/>
        <v>0</v>
      </c>
      <c r="H923" s="9">
        <f t="shared" si="115"/>
        <v>80</v>
      </c>
      <c r="I923" s="9">
        <f t="shared" si="116"/>
        <v>35.941515925463314</v>
      </c>
      <c r="J923" s="9">
        <f t="shared" si="117"/>
        <v>23.961010616975546</v>
      </c>
      <c r="K923" s="1">
        <f t="shared" si="119"/>
        <v>139.90252654243886</v>
      </c>
      <c r="L923" s="1"/>
      <c r="M923" s="3"/>
      <c r="N923" s="3"/>
      <c r="O923" s="3"/>
      <c r="P923" s="3"/>
      <c r="Q923" s="3"/>
      <c r="R923" s="1"/>
    </row>
    <row r="924" spans="2:18" x14ac:dyDescent="0.2">
      <c r="B924">
        <v>912</v>
      </c>
      <c r="C924" s="1">
        <v>1.3742654346340921</v>
      </c>
      <c r="D924" s="1">
        <f t="shared" si="113"/>
        <v>200.28261553504493</v>
      </c>
      <c r="E924" s="18">
        <f t="shared" si="112"/>
        <v>-60.016413459277487</v>
      </c>
      <c r="F924" s="1">
        <f t="shared" si="118"/>
        <v>140.26620207576744</v>
      </c>
      <c r="G924" s="9">
        <f t="shared" si="114"/>
        <v>0</v>
      </c>
      <c r="H924" s="9">
        <f t="shared" si="115"/>
        <v>80</v>
      </c>
      <c r="I924" s="9">
        <f t="shared" si="116"/>
        <v>36.15972124546046</v>
      </c>
      <c r="J924" s="9">
        <f t="shared" si="117"/>
        <v>24.106480830306978</v>
      </c>
      <c r="K924" s="1">
        <f t="shared" si="119"/>
        <v>140.26620207576744</v>
      </c>
      <c r="L924" s="1"/>
      <c r="M924" s="3"/>
      <c r="N924" s="3"/>
      <c r="O924" s="3"/>
      <c r="P924" s="3"/>
      <c r="Q924" s="3"/>
      <c r="R924" s="1"/>
    </row>
    <row r="925" spans="2:18" x14ac:dyDescent="0.2">
      <c r="B925">
        <v>913</v>
      </c>
      <c r="C925" s="1">
        <v>1.3752612660164465</v>
      </c>
      <c r="D925" s="1">
        <f t="shared" si="113"/>
        <v>200.40231992143291</v>
      </c>
      <c r="E925" s="18">
        <f t="shared" si="112"/>
        <v>-60.016413459277487</v>
      </c>
      <c r="F925" s="1">
        <f t="shared" si="118"/>
        <v>140.38590646215542</v>
      </c>
      <c r="G925" s="9">
        <f t="shared" si="114"/>
        <v>0</v>
      </c>
      <c r="H925" s="9">
        <f t="shared" si="115"/>
        <v>80</v>
      </c>
      <c r="I925" s="9">
        <f t="shared" si="116"/>
        <v>36.231543877293248</v>
      </c>
      <c r="J925" s="9">
        <f t="shared" si="117"/>
        <v>24.15436258486217</v>
      </c>
      <c r="K925" s="1">
        <f t="shared" si="119"/>
        <v>140.38590646215542</v>
      </c>
      <c r="L925" s="1"/>
      <c r="M925" s="3"/>
      <c r="N925" s="3"/>
      <c r="O925" s="3"/>
      <c r="P925" s="3"/>
      <c r="Q925" s="3"/>
      <c r="R925" s="1"/>
    </row>
    <row r="926" spans="2:18" x14ac:dyDescent="0.2">
      <c r="B926">
        <v>914</v>
      </c>
      <c r="C926" s="1">
        <v>1.3859235565226176</v>
      </c>
      <c r="D926" s="1">
        <f t="shared" si="113"/>
        <v>201.68847820479442</v>
      </c>
      <c r="E926" s="18">
        <f t="shared" si="112"/>
        <v>-60.016413459277487</v>
      </c>
      <c r="F926" s="1">
        <f t="shared" si="118"/>
        <v>141.67206474551693</v>
      </c>
      <c r="G926" s="9">
        <f t="shared" si="114"/>
        <v>0</v>
      </c>
      <c r="H926" s="9">
        <f t="shared" si="115"/>
        <v>80</v>
      </c>
      <c r="I926" s="9">
        <f t="shared" si="116"/>
        <v>37.003238847310158</v>
      </c>
      <c r="J926" s="9">
        <f t="shared" si="117"/>
        <v>24.668825898206777</v>
      </c>
      <c r="K926" s="1">
        <f t="shared" si="119"/>
        <v>141.67206474551693</v>
      </c>
      <c r="L926" s="1"/>
      <c r="M926" s="3"/>
      <c r="N926" s="3"/>
      <c r="O926" s="3"/>
      <c r="P926" s="3"/>
      <c r="Q926" s="3"/>
      <c r="R926" s="1"/>
    </row>
    <row r="927" spans="2:18" x14ac:dyDescent="0.2">
      <c r="B927">
        <v>915</v>
      </c>
      <c r="C927" s="1">
        <v>1.3869349312991135</v>
      </c>
      <c r="D927" s="1">
        <f t="shared" si="113"/>
        <v>201.81090493056803</v>
      </c>
      <c r="E927" s="18">
        <f t="shared" si="112"/>
        <v>-60.016413459277487</v>
      </c>
      <c r="F927" s="1">
        <f t="shared" si="118"/>
        <v>141.79449147129054</v>
      </c>
      <c r="G927" s="9">
        <f t="shared" si="114"/>
        <v>0</v>
      </c>
      <c r="H927" s="9">
        <f t="shared" si="115"/>
        <v>80</v>
      </c>
      <c r="I927" s="9">
        <f t="shared" si="116"/>
        <v>37.076694882774326</v>
      </c>
      <c r="J927" s="9">
        <f t="shared" si="117"/>
        <v>24.717796588516219</v>
      </c>
      <c r="K927" s="1">
        <f t="shared" si="119"/>
        <v>141.79449147129054</v>
      </c>
      <c r="L927" s="1"/>
      <c r="M927" s="3"/>
      <c r="N927" s="3"/>
      <c r="O927" s="3"/>
      <c r="P927" s="3"/>
      <c r="Q927" s="3"/>
      <c r="R927" s="1"/>
    </row>
    <row r="928" spans="2:18" x14ac:dyDescent="0.2">
      <c r="B928">
        <v>916</v>
      </c>
      <c r="C928" s="1">
        <v>1.389121803331131</v>
      </c>
      <c r="D928" s="1">
        <f t="shared" si="113"/>
        <v>202.07587950644759</v>
      </c>
      <c r="E928" s="18">
        <f t="shared" si="112"/>
        <v>-60.016413459277487</v>
      </c>
      <c r="F928" s="1">
        <f t="shared" si="118"/>
        <v>142.0594660471701</v>
      </c>
      <c r="G928" s="9">
        <f t="shared" si="114"/>
        <v>0</v>
      </c>
      <c r="H928" s="9">
        <f t="shared" si="115"/>
        <v>80</v>
      </c>
      <c r="I928" s="9">
        <f t="shared" si="116"/>
        <v>37.235679628302059</v>
      </c>
      <c r="J928" s="9">
        <f t="shared" si="117"/>
        <v>24.823786418868043</v>
      </c>
      <c r="K928" s="1">
        <f t="shared" si="119"/>
        <v>142.0594660471701</v>
      </c>
      <c r="L928" s="1"/>
      <c r="M928" s="3"/>
      <c r="N928" s="3"/>
      <c r="O928" s="3"/>
      <c r="P928" s="3"/>
      <c r="Q928" s="3"/>
      <c r="R928" s="1"/>
    </row>
    <row r="929" spans="2:18" x14ac:dyDescent="0.2">
      <c r="B929">
        <v>917</v>
      </c>
      <c r="C929" s="1">
        <v>1.3932076170146781</v>
      </c>
      <c r="D929" s="1">
        <f t="shared" si="113"/>
        <v>202.57187385635751</v>
      </c>
      <c r="E929" s="18">
        <f t="shared" si="112"/>
        <v>-60.016413459277487</v>
      </c>
      <c r="F929" s="1">
        <f t="shared" si="118"/>
        <v>142.55546039708003</v>
      </c>
      <c r="G929" s="9">
        <f t="shared" si="114"/>
        <v>0</v>
      </c>
      <c r="H929" s="9">
        <f t="shared" si="115"/>
        <v>80</v>
      </c>
      <c r="I929" s="9">
        <f t="shared" si="116"/>
        <v>37.533276238248014</v>
      </c>
      <c r="J929" s="9">
        <f t="shared" si="117"/>
        <v>25.022184158832012</v>
      </c>
      <c r="K929" s="1">
        <f t="shared" si="119"/>
        <v>142.55546039708003</v>
      </c>
      <c r="L929" s="1"/>
      <c r="M929" s="3"/>
      <c r="N929" s="3"/>
      <c r="O929" s="3"/>
      <c r="P929" s="3"/>
      <c r="Q929" s="3"/>
      <c r="R929" s="1"/>
    </row>
    <row r="930" spans="2:18" x14ac:dyDescent="0.2">
      <c r="B930">
        <v>918</v>
      </c>
      <c r="C930" s="1">
        <v>1.4025221315292711</v>
      </c>
      <c r="D930" s="1">
        <f t="shared" si="113"/>
        <v>203.70715848454833</v>
      </c>
      <c r="E930" s="18">
        <f t="shared" si="112"/>
        <v>-60.016413459277487</v>
      </c>
      <c r="F930" s="1">
        <f t="shared" si="118"/>
        <v>143.69074502527084</v>
      </c>
      <c r="G930" s="9">
        <f t="shared" si="114"/>
        <v>0</v>
      </c>
      <c r="H930" s="9">
        <f t="shared" si="115"/>
        <v>80</v>
      </c>
      <c r="I930" s="9">
        <f t="shared" si="116"/>
        <v>38.214447015162506</v>
      </c>
      <c r="J930" s="9">
        <f t="shared" si="117"/>
        <v>25.476298010108337</v>
      </c>
      <c r="K930" s="1">
        <f t="shared" si="119"/>
        <v>143.69074502527084</v>
      </c>
      <c r="L930" s="1"/>
      <c r="M930" s="3"/>
      <c r="N930" s="3"/>
      <c r="O930" s="3"/>
      <c r="P930" s="3"/>
      <c r="Q930" s="3"/>
      <c r="R930" s="1"/>
    </row>
    <row r="931" spans="2:18" x14ac:dyDescent="0.2">
      <c r="B931">
        <v>919</v>
      </c>
      <c r="C931" s="1">
        <v>1.4047058727850761</v>
      </c>
      <c r="D931" s="1">
        <f t="shared" si="113"/>
        <v>203.97423965284025</v>
      </c>
      <c r="E931" s="18">
        <f t="shared" si="112"/>
        <v>-60.016413459277487</v>
      </c>
      <c r="F931" s="1">
        <f t="shared" si="118"/>
        <v>143.95782619356277</v>
      </c>
      <c r="G931" s="9">
        <f t="shared" si="114"/>
        <v>0</v>
      </c>
      <c r="H931" s="9">
        <f t="shared" si="115"/>
        <v>80</v>
      </c>
      <c r="I931" s="9">
        <f t="shared" si="116"/>
        <v>38.374695716137659</v>
      </c>
      <c r="J931" s="9">
        <f t="shared" si="117"/>
        <v>25.583130477425108</v>
      </c>
      <c r="K931" s="1">
        <f t="shared" si="119"/>
        <v>143.95782619356277</v>
      </c>
      <c r="L931" s="1"/>
      <c r="M931" s="3"/>
      <c r="N931" s="3"/>
      <c r="O931" s="3"/>
      <c r="P931" s="3"/>
      <c r="Q931" s="3"/>
      <c r="R931" s="1"/>
    </row>
    <row r="932" spans="2:18" x14ac:dyDescent="0.2">
      <c r="B932">
        <v>920</v>
      </c>
      <c r="C932" s="1">
        <v>1.4055900945377335</v>
      </c>
      <c r="D932" s="1">
        <f t="shared" si="113"/>
        <v>204.0824834395643</v>
      </c>
      <c r="E932" s="18">
        <f t="shared" si="112"/>
        <v>-60.016413459277487</v>
      </c>
      <c r="F932" s="1">
        <f t="shared" si="118"/>
        <v>144.06606998028681</v>
      </c>
      <c r="G932" s="9">
        <f t="shared" si="114"/>
        <v>0</v>
      </c>
      <c r="H932" s="9">
        <f t="shared" si="115"/>
        <v>80</v>
      </c>
      <c r="I932" s="9">
        <f t="shared" si="116"/>
        <v>38.439641988172085</v>
      </c>
      <c r="J932" s="9">
        <f t="shared" si="117"/>
        <v>25.626427992114728</v>
      </c>
      <c r="K932" s="1">
        <f t="shared" si="119"/>
        <v>144.06606998028681</v>
      </c>
      <c r="L932" s="1"/>
      <c r="M932" s="3"/>
      <c r="N932" s="3"/>
      <c r="O932" s="3"/>
      <c r="P932" s="3"/>
      <c r="Q932" s="3"/>
      <c r="R932" s="1"/>
    </row>
    <row r="933" spans="2:18" x14ac:dyDescent="0.2">
      <c r="B933">
        <v>921</v>
      </c>
      <c r="C933" s="1">
        <v>1.4095914343662332</v>
      </c>
      <c r="D933" s="1">
        <f t="shared" si="113"/>
        <v>204.57303408346252</v>
      </c>
      <c r="E933" s="18">
        <f t="shared" si="112"/>
        <v>-60.016413459277487</v>
      </c>
      <c r="F933" s="1">
        <f t="shared" si="118"/>
        <v>144.55662062418503</v>
      </c>
      <c r="G933" s="9">
        <f t="shared" si="114"/>
        <v>0</v>
      </c>
      <c r="H933" s="9">
        <f t="shared" si="115"/>
        <v>80</v>
      </c>
      <c r="I933" s="9">
        <f t="shared" si="116"/>
        <v>38.733972374511019</v>
      </c>
      <c r="J933" s="9">
        <f t="shared" si="117"/>
        <v>25.822648249674014</v>
      </c>
      <c r="K933" s="1">
        <f t="shared" si="119"/>
        <v>144.55662062418503</v>
      </c>
      <c r="L933" s="1"/>
      <c r="M933" s="3"/>
      <c r="N933" s="3"/>
      <c r="O933" s="3"/>
      <c r="P933" s="3"/>
      <c r="Q933" s="3"/>
      <c r="R933" s="1"/>
    </row>
    <row r="934" spans="2:18" x14ac:dyDescent="0.2">
      <c r="B934">
        <v>922</v>
      </c>
      <c r="C934" s="1">
        <v>1.4129952707992524</v>
      </c>
      <c r="D934" s="1">
        <f t="shared" si="113"/>
        <v>204.99126089877126</v>
      </c>
      <c r="E934" s="18">
        <f t="shared" si="112"/>
        <v>-60.016413459277487</v>
      </c>
      <c r="F934" s="1">
        <f t="shared" si="118"/>
        <v>144.97484743949377</v>
      </c>
      <c r="G934" s="9">
        <f t="shared" si="114"/>
        <v>0</v>
      </c>
      <c r="H934" s="9">
        <f t="shared" si="115"/>
        <v>80</v>
      </c>
      <c r="I934" s="9">
        <f t="shared" si="116"/>
        <v>38.984908463696264</v>
      </c>
      <c r="J934" s="9">
        <f t="shared" si="117"/>
        <v>25.989938975797511</v>
      </c>
      <c r="K934" s="1">
        <f t="shared" si="119"/>
        <v>144.97484743949377</v>
      </c>
      <c r="L934" s="1"/>
      <c r="M934" s="3"/>
      <c r="N934" s="3"/>
      <c r="O934" s="3"/>
      <c r="P934" s="3"/>
      <c r="Q934" s="3"/>
      <c r="R934" s="1"/>
    </row>
    <row r="935" spans="2:18" x14ac:dyDescent="0.2">
      <c r="B935">
        <v>923</v>
      </c>
      <c r="C935" s="1">
        <v>1.4242368663629499</v>
      </c>
      <c r="D935" s="1">
        <f t="shared" si="113"/>
        <v>206.37859169209838</v>
      </c>
      <c r="E935" s="18">
        <f t="shared" si="112"/>
        <v>-60.016413459277487</v>
      </c>
      <c r="F935" s="1">
        <f t="shared" si="118"/>
        <v>146.3621782328209</v>
      </c>
      <c r="G935" s="9">
        <f t="shared" si="114"/>
        <v>0</v>
      </c>
      <c r="H935" s="9">
        <f t="shared" si="115"/>
        <v>80</v>
      </c>
      <c r="I935" s="9">
        <f t="shared" si="116"/>
        <v>39.817306939692536</v>
      </c>
      <c r="J935" s="9">
        <f t="shared" si="117"/>
        <v>26.544871293128359</v>
      </c>
      <c r="K935" s="1">
        <f t="shared" si="119"/>
        <v>146.3621782328209</v>
      </c>
      <c r="L935" s="1"/>
      <c r="M935" s="3"/>
      <c r="N935" s="3"/>
      <c r="O935" s="3"/>
      <c r="P935" s="3"/>
      <c r="Q935" s="3"/>
      <c r="R935" s="1"/>
    </row>
    <row r="936" spans="2:18" x14ac:dyDescent="0.2">
      <c r="B936">
        <v>924</v>
      </c>
      <c r="C936" s="1">
        <v>1.4265478366242441</v>
      </c>
      <c r="D936" s="1">
        <f t="shared" si="113"/>
        <v>206.66495104938716</v>
      </c>
      <c r="E936" s="18">
        <f t="shared" si="112"/>
        <v>-60.016413459277487</v>
      </c>
      <c r="F936" s="1">
        <f t="shared" si="118"/>
        <v>146.64853759010967</v>
      </c>
      <c r="G936" s="9">
        <f t="shared" si="114"/>
        <v>0</v>
      </c>
      <c r="H936" s="9">
        <f t="shared" si="115"/>
        <v>80</v>
      </c>
      <c r="I936" s="9">
        <f t="shared" si="116"/>
        <v>39.989122554065801</v>
      </c>
      <c r="J936" s="9">
        <f t="shared" si="117"/>
        <v>26.659415036043868</v>
      </c>
      <c r="K936" s="1">
        <f t="shared" si="119"/>
        <v>146.64853759010967</v>
      </c>
      <c r="L936" s="1"/>
      <c r="M936" s="3"/>
      <c r="N936" s="3"/>
      <c r="O936" s="3"/>
      <c r="P936" s="3"/>
      <c r="Q936" s="3"/>
      <c r="R936" s="1"/>
    </row>
    <row r="937" spans="2:18" x14ac:dyDescent="0.2">
      <c r="B937">
        <v>925</v>
      </c>
      <c r="C937" s="1">
        <v>1.4295165043682614</v>
      </c>
      <c r="D937" s="1">
        <f t="shared" si="113"/>
        <v>207.03339082896179</v>
      </c>
      <c r="E937" s="18">
        <f t="shared" si="112"/>
        <v>-60.016413459277487</v>
      </c>
      <c r="F937" s="1">
        <f t="shared" si="118"/>
        <v>147.0169773696843</v>
      </c>
      <c r="G937" s="9">
        <f t="shared" si="114"/>
        <v>0</v>
      </c>
      <c r="H937" s="9">
        <f t="shared" si="115"/>
        <v>80</v>
      </c>
      <c r="I937" s="9">
        <f t="shared" si="116"/>
        <v>40.210186421810576</v>
      </c>
      <c r="J937" s="9">
        <f t="shared" si="117"/>
        <v>26.806790947873722</v>
      </c>
      <c r="K937" s="1">
        <f t="shared" si="119"/>
        <v>147.0169773696843</v>
      </c>
      <c r="L937" s="1"/>
      <c r="M937" s="3"/>
      <c r="N937" s="3"/>
      <c r="O937" s="3"/>
      <c r="P937" s="3"/>
      <c r="Q937" s="3"/>
      <c r="R937" s="1"/>
    </row>
    <row r="938" spans="2:18" x14ac:dyDescent="0.2">
      <c r="B938">
        <v>926</v>
      </c>
      <c r="C938" s="1">
        <v>1.4374438587660139</v>
      </c>
      <c r="D938" s="1">
        <f t="shared" si="113"/>
        <v>208.02047268910772</v>
      </c>
      <c r="E938" s="18">
        <f t="shared" si="112"/>
        <v>-60.016413459277487</v>
      </c>
      <c r="F938" s="1">
        <f t="shared" si="118"/>
        <v>148.00405922983023</v>
      </c>
      <c r="G938" s="9">
        <f t="shared" si="114"/>
        <v>0</v>
      </c>
      <c r="H938" s="9">
        <f t="shared" si="115"/>
        <v>80</v>
      </c>
      <c r="I938" s="9">
        <f t="shared" si="116"/>
        <v>40.802435537898141</v>
      </c>
      <c r="J938" s="9">
        <f t="shared" si="117"/>
        <v>27.201623691932095</v>
      </c>
      <c r="K938" s="1">
        <f t="shared" si="119"/>
        <v>148.00405922983023</v>
      </c>
      <c r="L938" s="1"/>
      <c r="M938" s="3"/>
      <c r="N938" s="3"/>
      <c r="O938" s="3"/>
      <c r="P938" s="3"/>
      <c r="Q938" s="3"/>
      <c r="R938" s="1"/>
    </row>
    <row r="939" spans="2:18" x14ac:dyDescent="0.2">
      <c r="B939">
        <v>927</v>
      </c>
      <c r="C939" s="1">
        <v>1.4430741509722236</v>
      </c>
      <c r="D939" s="1">
        <f t="shared" si="113"/>
        <v>208.72439062644892</v>
      </c>
      <c r="E939" s="18">
        <f t="shared" si="112"/>
        <v>-60.016413459277487</v>
      </c>
      <c r="F939" s="1">
        <f t="shared" si="118"/>
        <v>148.70797716717144</v>
      </c>
      <c r="G939" s="9">
        <f t="shared" si="114"/>
        <v>0</v>
      </c>
      <c r="H939" s="9">
        <f t="shared" si="115"/>
        <v>80</v>
      </c>
      <c r="I939" s="9">
        <f t="shared" si="116"/>
        <v>41.22478630030286</v>
      </c>
      <c r="J939" s="9">
        <f t="shared" si="117"/>
        <v>27.483190866868576</v>
      </c>
      <c r="K939" s="1">
        <f t="shared" si="119"/>
        <v>148.70797716717144</v>
      </c>
      <c r="L939" s="1"/>
      <c r="M939" s="3"/>
      <c r="N939" s="3"/>
      <c r="O939" s="3"/>
      <c r="P939" s="3"/>
      <c r="Q939" s="3"/>
      <c r="R939" s="1"/>
    </row>
    <row r="940" spans="2:18" x14ac:dyDescent="0.2">
      <c r="B940">
        <v>928</v>
      </c>
      <c r="C940" s="1">
        <v>1.4557207572032527</v>
      </c>
      <c r="D940" s="1">
        <f t="shared" si="113"/>
        <v>210.31420784349058</v>
      </c>
      <c r="E940" s="18">
        <f t="shared" si="112"/>
        <v>-60.016413459277487</v>
      </c>
      <c r="F940" s="1">
        <f t="shared" si="118"/>
        <v>150.29779438421309</v>
      </c>
      <c r="G940" s="9">
        <f t="shared" si="114"/>
        <v>0</v>
      </c>
      <c r="H940" s="9">
        <f t="shared" si="115"/>
        <v>80</v>
      </c>
      <c r="I940" s="9">
        <f t="shared" si="116"/>
        <v>42.178676630527853</v>
      </c>
      <c r="J940" s="9">
        <f t="shared" si="117"/>
        <v>28.119117753685238</v>
      </c>
      <c r="K940" s="1">
        <f t="shared" si="119"/>
        <v>150.29779438421309</v>
      </c>
      <c r="L940" s="1"/>
      <c r="M940" s="3"/>
      <c r="N940" s="3"/>
      <c r="O940" s="3"/>
      <c r="P940" s="3"/>
      <c r="Q940" s="3"/>
      <c r="R940" s="1"/>
    </row>
    <row r="941" spans="2:18" x14ac:dyDescent="0.2">
      <c r="B941">
        <v>929</v>
      </c>
      <c r="C941" s="1">
        <v>1.4579604263395367</v>
      </c>
      <c r="D941" s="1">
        <f t="shared" si="113"/>
        <v>210.5970183656691</v>
      </c>
      <c r="E941" s="18">
        <f t="shared" si="112"/>
        <v>-60.016413459277487</v>
      </c>
      <c r="F941" s="1">
        <f t="shared" si="118"/>
        <v>150.58060490639161</v>
      </c>
      <c r="G941" s="9">
        <f t="shared" si="114"/>
        <v>0</v>
      </c>
      <c r="H941" s="9">
        <f t="shared" si="115"/>
        <v>80</v>
      </c>
      <c r="I941" s="9">
        <f t="shared" si="116"/>
        <v>42.348362943834964</v>
      </c>
      <c r="J941" s="9">
        <f t="shared" si="117"/>
        <v>28.232241962556646</v>
      </c>
      <c r="K941" s="1">
        <f t="shared" si="119"/>
        <v>150.58060490639161</v>
      </c>
      <c r="L941" s="1"/>
      <c r="M941" s="3"/>
      <c r="N941" s="3"/>
      <c r="O941" s="3"/>
      <c r="P941" s="3"/>
      <c r="Q941" s="3"/>
      <c r="R941" s="1"/>
    </row>
    <row r="942" spans="2:18" x14ac:dyDescent="0.2">
      <c r="B942">
        <v>930</v>
      </c>
      <c r="C942" s="1">
        <v>1.4608872349688991</v>
      </c>
      <c r="D942" s="1">
        <f t="shared" si="113"/>
        <v>210.96716958147948</v>
      </c>
      <c r="E942" s="18">
        <f t="shared" si="112"/>
        <v>-60.016413459277487</v>
      </c>
      <c r="F942" s="1">
        <f t="shared" si="118"/>
        <v>150.95075612220199</v>
      </c>
      <c r="G942" s="9">
        <f t="shared" si="114"/>
        <v>0</v>
      </c>
      <c r="H942" s="9">
        <f t="shared" si="115"/>
        <v>80</v>
      </c>
      <c r="I942" s="9">
        <f t="shared" si="116"/>
        <v>42.570453673321197</v>
      </c>
      <c r="J942" s="9">
        <f t="shared" si="117"/>
        <v>28.380302448880798</v>
      </c>
      <c r="K942" s="1">
        <f t="shared" si="119"/>
        <v>150.95075612220199</v>
      </c>
      <c r="L942" s="1"/>
      <c r="M942" s="3"/>
      <c r="N942" s="3"/>
      <c r="O942" s="3"/>
      <c r="P942" s="3"/>
      <c r="Q942" s="3"/>
      <c r="R942" s="1"/>
    </row>
    <row r="943" spans="2:18" x14ac:dyDescent="0.2">
      <c r="B943">
        <v>931</v>
      </c>
      <c r="C943" s="1">
        <v>1.4746170717880001</v>
      </c>
      <c r="D943" s="1">
        <f t="shared" si="113"/>
        <v>212.71227460215562</v>
      </c>
      <c r="E943" s="18">
        <f t="shared" si="112"/>
        <v>-60.016413459277487</v>
      </c>
      <c r="F943" s="1">
        <f t="shared" si="118"/>
        <v>152.69586114287813</v>
      </c>
      <c r="G943" s="9">
        <f t="shared" si="114"/>
        <v>0</v>
      </c>
      <c r="H943" s="9">
        <f t="shared" si="115"/>
        <v>80</v>
      </c>
      <c r="I943" s="9">
        <f t="shared" si="116"/>
        <v>43.617516685726876</v>
      </c>
      <c r="J943" s="9">
        <f t="shared" si="117"/>
        <v>29.078344457151253</v>
      </c>
      <c r="K943" s="1">
        <f t="shared" si="119"/>
        <v>152.69586114287813</v>
      </c>
      <c r="L943" s="1"/>
      <c r="M943" s="3"/>
      <c r="N943" s="3"/>
      <c r="O943" s="3"/>
      <c r="P943" s="3"/>
      <c r="Q943" s="3"/>
      <c r="R943" s="1"/>
    </row>
    <row r="944" spans="2:18" x14ac:dyDescent="0.2">
      <c r="B944">
        <v>932</v>
      </c>
      <c r="C944" s="1">
        <v>1.5029766926363535</v>
      </c>
      <c r="D944" s="1">
        <f t="shared" si="113"/>
        <v>216.36270766858888</v>
      </c>
      <c r="E944" s="18">
        <f t="shared" si="112"/>
        <v>-60.016413459277487</v>
      </c>
      <c r="F944" s="1">
        <f t="shared" si="118"/>
        <v>156.3462942093114</v>
      </c>
      <c r="G944" s="9">
        <f t="shared" si="114"/>
        <v>0</v>
      </c>
      <c r="H944" s="9">
        <f t="shared" si="115"/>
        <v>80</v>
      </c>
      <c r="I944" s="9">
        <f t="shared" si="116"/>
        <v>45.807776525586839</v>
      </c>
      <c r="J944" s="9">
        <f t="shared" si="117"/>
        <v>30.53851768372456</v>
      </c>
      <c r="K944" s="1">
        <f t="shared" si="119"/>
        <v>156.3462942093114</v>
      </c>
      <c r="L944" s="1"/>
      <c r="M944" s="3"/>
      <c r="N944" s="3"/>
      <c r="O944" s="3"/>
      <c r="P944" s="3"/>
      <c r="Q944" s="3"/>
      <c r="R944" s="1"/>
    </row>
    <row r="945" spans="2:18" x14ac:dyDescent="0.2">
      <c r="B945">
        <v>933</v>
      </c>
      <c r="C945" s="1">
        <v>1.5099720424248739</v>
      </c>
      <c r="D945" s="1">
        <f t="shared" si="113"/>
        <v>217.27273581498503</v>
      </c>
      <c r="E945" s="18">
        <f t="shared" si="112"/>
        <v>-60.016413459277487</v>
      </c>
      <c r="F945" s="1">
        <f t="shared" si="118"/>
        <v>157.25632235570754</v>
      </c>
      <c r="G945" s="9">
        <f t="shared" si="114"/>
        <v>0</v>
      </c>
      <c r="H945" s="9">
        <f t="shared" si="115"/>
        <v>80</v>
      </c>
      <c r="I945" s="9">
        <f t="shared" si="116"/>
        <v>46.353793413424519</v>
      </c>
      <c r="J945" s="9">
        <f t="shared" si="117"/>
        <v>30.902528942283016</v>
      </c>
      <c r="K945" s="1">
        <f t="shared" si="119"/>
        <v>157.25632235570754</v>
      </c>
      <c r="L945" s="1"/>
      <c r="M945" s="3"/>
      <c r="N945" s="3"/>
      <c r="O945" s="3"/>
      <c r="P945" s="3"/>
      <c r="Q945" s="3"/>
      <c r="R945" s="1"/>
    </row>
    <row r="946" spans="2:18" x14ac:dyDescent="0.2">
      <c r="B946">
        <v>934</v>
      </c>
      <c r="C946" s="1">
        <v>1.5230381474725248</v>
      </c>
      <c r="D946" s="1">
        <f t="shared" si="113"/>
        <v>218.98277515688994</v>
      </c>
      <c r="E946" s="18">
        <f t="shared" si="112"/>
        <v>-60.016413459277487</v>
      </c>
      <c r="F946" s="1">
        <f t="shared" si="118"/>
        <v>158.96636169761246</v>
      </c>
      <c r="G946" s="9">
        <f t="shared" si="114"/>
        <v>0</v>
      </c>
      <c r="H946" s="9">
        <f t="shared" si="115"/>
        <v>80</v>
      </c>
      <c r="I946" s="9">
        <f t="shared" si="116"/>
        <v>47.379817018567472</v>
      </c>
      <c r="J946" s="9">
        <f t="shared" si="117"/>
        <v>31.586544679044984</v>
      </c>
      <c r="K946" s="1">
        <f t="shared" si="119"/>
        <v>158.96636169761246</v>
      </c>
      <c r="L946" s="1"/>
      <c r="M946" s="3"/>
      <c r="N946" s="3"/>
      <c r="O946" s="3"/>
      <c r="P946" s="3"/>
      <c r="Q946" s="3"/>
      <c r="R946" s="1"/>
    </row>
    <row r="947" spans="2:18" x14ac:dyDescent="0.2">
      <c r="B947">
        <v>935</v>
      </c>
      <c r="C947" s="1">
        <v>1.5319442600606328</v>
      </c>
      <c r="D947" s="1">
        <f t="shared" si="113"/>
        <v>220.15607838638039</v>
      </c>
      <c r="E947" s="18">
        <f t="shared" si="112"/>
        <v>-60.016413459277487</v>
      </c>
      <c r="F947" s="1">
        <f t="shared" si="118"/>
        <v>160.1396649271029</v>
      </c>
      <c r="G947" s="9">
        <f t="shared" si="114"/>
        <v>0</v>
      </c>
      <c r="H947" s="9">
        <f t="shared" si="115"/>
        <v>80</v>
      </c>
      <c r="I947" s="9">
        <f t="shared" si="116"/>
        <v>48.083798956261738</v>
      </c>
      <c r="J947" s="9">
        <f t="shared" si="117"/>
        <v>32.055865970841161</v>
      </c>
      <c r="K947" s="1">
        <f t="shared" si="119"/>
        <v>160.1396649271029</v>
      </c>
      <c r="L947" s="1"/>
      <c r="M947" s="3"/>
      <c r="N947" s="3"/>
      <c r="O947" s="3"/>
      <c r="P947" s="3"/>
      <c r="Q947" s="3"/>
      <c r="R947" s="1"/>
    </row>
    <row r="948" spans="2:18" x14ac:dyDescent="0.2">
      <c r="B948">
        <v>936</v>
      </c>
      <c r="C948" s="1">
        <v>1.5350247111494166</v>
      </c>
      <c r="D948" s="1">
        <f t="shared" si="113"/>
        <v>220.56336267505637</v>
      </c>
      <c r="E948" s="18">
        <f t="shared" si="112"/>
        <v>-60.016413459277487</v>
      </c>
      <c r="F948" s="1">
        <f t="shared" si="118"/>
        <v>160.54694921577888</v>
      </c>
      <c r="G948" s="9">
        <f t="shared" si="114"/>
        <v>0</v>
      </c>
      <c r="H948" s="9">
        <f t="shared" si="115"/>
        <v>80</v>
      </c>
      <c r="I948" s="9">
        <f t="shared" si="116"/>
        <v>48.328169529467324</v>
      </c>
      <c r="J948" s="9">
        <f t="shared" si="117"/>
        <v>32.218779686311557</v>
      </c>
      <c r="K948" s="1">
        <f t="shared" si="119"/>
        <v>160.54694921577888</v>
      </c>
      <c r="L948" s="1"/>
      <c r="M948" s="3"/>
      <c r="N948" s="3"/>
      <c r="O948" s="3"/>
      <c r="P948" s="3"/>
      <c r="Q948" s="3"/>
      <c r="R948" s="1"/>
    </row>
    <row r="949" spans="2:18" x14ac:dyDescent="0.2">
      <c r="B949">
        <v>937</v>
      </c>
      <c r="C949" s="1">
        <v>1.5396033176969237</v>
      </c>
      <c r="D949" s="1">
        <f t="shared" si="113"/>
        <v>221.17011943749768</v>
      </c>
      <c r="E949" s="18">
        <f t="shared" si="112"/>
        <v>-60.016413459277487</v>
      </c>
      <c r="F949" s="1">
        <f t="shared" si="118"/>
        <v>161.15370597822019</v>
      </c>
      <c r="G949" s="9">
        <f t="shared" si="114"/>
        <v>0</v>
      </c>
      <c r="H949" s="9">
        <f t="shared" si="115"/>
        <v>80</v>
      </c>
      <c r="I949" s="9">
        <f t="shared" si="116"/>
        <v>48.692223586932109</v>
      </c>
      <c r="J949" s="9">
        <f t="shared" si="117"/>
        <v>32.461482391288079</v>
      </c>
      <c r="K949" s="1">
        <f t="shared" si="119"/>
        <v>161.15370597822019</v>
      </c>
      <c r="L949" s="1"/>
      <c r="M949" s="3"/>
      <c r="N949" s="3"/>
      <c r="O949" s="3"/>
      <c r="P949" s="3"/>
      <c r="Q949" s="3"/>
      <c r="R949" s="1"/>
    </row>
    <row r="950" spans="2:18" x14ac:dyDescent="0.2">
      <c r="B950">
        <v>938</v>
      </c>
      <c r="C950" s="1">
        <v>1.5414418686964373</v>
      </c>
      <c r="D950" s="1">
        <f t="shared" si="113"/>
        <v>221.4142335841276</v>
      </c>
      <c r="E950" s="18">
        <f t="shared" si="112"/>
        <v>-60.016413459277487</v>
      </c>
      <c r="F950" s="1">
        <f t="shared" si="118"/>
        <v>161.39782012485011</v>
      </c>
      <c r="G950" s="9">
        <f t="shared" si="114"/>
        <v>0</v>
      </c>
      <c r="H950" s="9">
        <f t="shared" si="115"/>
        <v>80</v>
      </c>
      <c r="I950" s="9">
        <f t="shared" si="116"/>
        <v>48.838692074910064</v>
      </c>
      <c r="J950" s="9">
        <f t="shared" si="117"/>
        <v>32.55912804994005</v>
      </c>
      <c r="K950" s="1">
        <f t="shared" si="119"/>
        <v>161.39782012485011</v>
      </c>
      <c r="L950" s="1"/>
      <c r="M950" s="3"/>
      <c r="N950" s="3"/>
      <c r="O950" s="3"/>
      <c r="P950" s="3"/>
      <c r="Q950" s="3"/>
      <c r="R950" s="1"/>
    </row>
    <row r="951" spans="2:18" x14ac:dyDescent="0.2">
      <c r="B951">
        <v>939</v>
      </c>
      <c r="C951" s="1">
        <v>1.5417622073566453</v>
      </c>
      <c r="D951" s="1">
        <f t="shared" si="113"/>
        <v>221.45679419750189</v>
      </c>
      <c r="E951" s="18">
        <f t="shared" si="112"/>
        <v>-60.016413459277487</v>
      </c>
      <c r="F951" s="1">
        <f t="shared" si="118"/>
        <v>161.44038073822441</v>
      </c>
      <c r="G951" s="9">
        <f t="shared" si="114"/>
        <v>0</v>
      </c>
      <c r="H951" s="9">
        <f t="shared" si="115"/>
        <v>80</v>
      </c>
      <c r="I951" s="9">
        <f t="shared" si="116"/>
        <v>48.864228442934639</v>
      </c>
      <c r="J951" s="9">
        <f t="shared" si="117"/>
        <v>32.576152295289766</v>
      </c>
      <c r="K951" s="1">
        <f t="shared" si="119"/>
        <v>161.44038073822441</v>
      </c>
      <c r="L951" s="1"/>
      <c r="M951" s="3"/>
      <c r="N951" s="3"/>
      <c r="O951" s="3"/>
      <c r="P951" s="3"/>
      <c r="Q951" s="3"/>
      <c r="R951" s="1"/>
    </row>
    <row r="952" spans="2:18" x14ac:dyDescent="0.2">
      <c r="B952">
        <v>940</v>
      </c>
      <c r="C952" s="1">
        <v>1.5446740704537256</v>
      </c>
      <c r="D952" s="1">
        <f t="shared" si="113"/>
        <v>221.84404350406032</v>
      </c>
      <c r="E952" s="18">
        <f t="shared" ref="E952:E1015" si="120">-MIN(D952-F,(-IF(AND(D952&gt;=F-dis, D952&lt;F), F-D952, IF(D952&gt;=F, $E$7, 0))))</f>
        <v>-60.016413459277487</v>
      </c>
      <c r="F952" s="1">
        <f t="shared" si="118"/>
        <v>161.82763004478284</v>
      </c>
      <c r="G952" s="9">
        <f t="shared" si="114"/>
        <v>0</v>
      </c>
      <c r="H952" s="9">
        <f t="shared" si="115"/>
        <v>80</v>
      </c>
      <c r="I952" s="9">
        <f t="shared" si="116"/>
        <v>49.0965780268697</v>
      </c>
      <c r="J952" s="9">
        <f t="shared" si="117"/>
        <v>32.731052017913136</v>
      </c>
      <c r="K952" s="1">
        <f t="shared" si="119"/>
        <v>161.82763004478284</v>
      </c>
      <c r="L952" s="1"/>
      <c r="M952" s="3"/>
      <c r="N952" s="3"/>
      <c r="O952" s="3"/>
      <c r="P952" s="3"/>
      <c r="Q952" s="3"/>
      <c r="R952" s="1"/>
    </row>
    <row r="953" spans="2:18" x14ac:dyDescent="0.2">
      <c r="B953">
        <v>941</v>
      </c>
      <c r="C953" s="1">
        <v>1.5892624396216755</v>
      </c>
      <c r="D953" s="1">
        <f t="shared" si="113"/>
        <v>227.85914427135504</v>
      </c>
      <c r="E953" s="18">
        <f t="shared" si="120"/>
        <v>-60.016413459277487</v>
      </c>
      <c r="F953" s="1">
        <f t="shared" si="118"/>
        <v>167.84273081207755</v>
      </c>
      <c r="G953" s="9">
        <f t="shared" si="114"/>
        <v>0</v>
      </c>
      <c r="H953" s="9">
        <f t="shared" si="115"/>
        <v>80</v>
      </c>
      <c r="I953" s="9">
        <f t="shared" si="116"/>
        <v>52.705638487246524</v>
      </c>
      <c r="J953" s="9">
        <f t="shared" si="117"/>
        <v>35.137092324831023</v>
      </c>
      <c r="K953" s="1">
        <f t="shared" si="119"/>
        <v>167.84273081207755</v>
      </c>
      <c r="L953" s="1"/>
      <c r="M953" s="3"/>
      <c r="N953" s="3"/>
      <c r="O953" s="3"/>
      <c r="P953" s="3"/>
      <c r="Q953" s="3"/>
      <c r="R953" s="1"/>
    </row>
    <row r="954" spans="2:18" x14ac:dyDescent="0.2">
      <c r="B954">
        <v>942</v>
      </c>
      <c r="C954" s="1">
        <v>1.5933503927149748</v>
      </c>
      <c r="D954" s="1">
        <f t="shared" si="113"/>
        <v>228.41871673881465</v>
      </c>
      <c r="E954" s="18">
        <f t="shared" si="120"/>
        <v>-60.016413459277487</v>
      </c>
      <c r="F954" s="1">
        <f t="shared" si="118"/>
        <v>168.40230327953716</v>
      </c>
      <c r="G954" s="9">
        <f t="shared" si="114"/>
        <v>0</v>
      </c>
      <c r="H954" s="9">
        <f t="shared" si="115"/>
        <v>80</v>
      </c>
      <c r="I954" s="9">
        <f t="shared" si="116"/>
        <v>53.041381967722295</v>
      </c>
      <c r="J954" s="9">
        <f t="shared" si="117"/>
        <v>35.36092131181487</v>
      </c>
      <c r="K954" s="1">
        <f t="shared" si="119"/>
        <v>168.40230327953716</v>
      </c>
      <c r="L954" s="1"/>
      <c r="M954" s="3"/>
      <c r="N954" s="3"/>
      <c r="O954" s="3"/>
      <c r="P954" s="3"/>
      <c r="Q954" s="3"/>
      <c r="R954" s="1"/>
    </row>
    <row r="955" spans="2:18" x14ac:dyDescent="0.2">
      <c r="B955">
        <v>943</v>
      </c>
      <c r="C955" s="1">
        <v>1.5947750222881496</v>
      </c>
      <c r="D955" s="1">
        <f t="shared" si="113"/>
        <v>228.61404744445116</v>
      </c>
      <c r="E955" s="18">
        <f t="shared" si="120"/>
        <v>-60.016413459277487</v>
      </c>
      <c r="F955" s="1">
        <f t="shared" si="118"/>
        <v>168.59763398517367</v>
      </c>
      <c r="G955" s="9">
        <f t="shared" si="114"/>
        <v>0</v>
      </c>
      <c r="H955" s="9">
        <f t="shared" si="115"/>
        <v>80</v>
      </c>
      <c r="I955" s="9">
        <f t="shared" si="116"/>
        <v>53.158580391104202</v>
      </c>
      <c r="J955" s="9">
        <f t="shared" si="117"/>
        <v>35.43905359406947</v>
      </c>
      <c r="K955" s="1">
        <f t="shared" si="119"/>
        <v>168.59763398517367</v>
      </c>
      <c r="L955" s="1"/>
      <c r="M955" s="3"/>
      <c r="N955" s="3"/>
      <c r="O955" s="3"/>
      <c r="P955" s="3"/>
      <c r="Q955" s="3"/>
      <c r="R955" s="1"/>
    </row>
    <row r="956" spans="2:18" x14ac:dyDescent="0.2">
      <c r="B956">
        <v>944</v>
      </c>
      <c r="C956" s="1">
        <v>1.6124351177298359</v>
      </c>
      <c r="D956" s="1">
        <f t="shared" si="113"/>
        <v>231.04933441746888</v>
      </c>
      <c r="E956" s="18">
        <f t="shared" si="120"/>
        <v>-60.016413459277487</v>
      </c>
      <c r="F956" s="1">
        <f t="shared" si="118"/>
        <v>171.0329209581914</v>
      </c>
      <c r="G956" s="9">
        <f t="shared" si="114"/>
        <v>0</v>
      </c>
      <c r="H956" s="9">
        <f t="shared" si="115"/>
        <v>80</v>
      </c>
      <c r="I956" s="9">
        <f t="shared" si="116"/>
        <v>54.619752574914834</v>
      </c>
      <c r="J956" s="9">
        <f t="shared" si="117"/>
        <v>36.413168383276563</v>
      </c>
      <c r="K956" s="1">
        <f t="shared" si="119"/>
        <v>171.0329209581914</v>
      </c>
      <c r="L956" s="1"/>
      <c r="M956" s="3"/>
      <c r="N956" s="3"/>
      <c r="O956" s="3"/>
      <c r="P956" s="3"/>
      <c r="Q956" s="3"/>
      <c r="R956" s="1"/>
    </row>
    <row r="957" spans="2:18" x14ac:dyDescent="0.2">
      <c r="B957">
        <v>945</v>
      </c>
      <c r="C957" s="1">
        <v>1.621511868032504</v>
      </c>
      <c r="D957" s="1">
        <f t="shared" si="113"/>
        <v>232.31107331526871</v>
      </c>
      <c r="E957" s="18">
        <f t="shared" si="120"/>
        <v>-60.016413459277487</v>
      </c>
      <c r="F957" s="1">
        <f t="shared" si="118"/>
        <v>172.29465985599123</v>
      </c>
      <c r="G957" s="9">
        <f t="shared" si="114"/>
        <v>0</v>
      </c>
      <c r="H957" s="9">
        <f t="shared" si="115"/>
        <v>80</v>
      </c>
      <c r="I957" s="9">
        <f t="shared" si="116"/>
        <v>55.376795913594734</v>
      </c>
      <c r="J957" s="9">
        <f t="shared" si="117"/>
        <v>36.917863942396494</v>
      </c>
      <c r="K957" s="1">
        <f t="shared" si="119"/>
        <v>172.2946598559912</v>
      </c>
      <c r="L957" s="1"/>
      <c r="M957" s="3"/>
      <c r="N957" s="3"/>
      <c r="O957" s="3"/>
      <c r="P957" s="3"/>
      <c r="Q957" s="3"/>
      <c r="R957" s="1"/>
    </row>
    <row r="958" spans="2:18" x14ac:dyDescent="0.2">
      <c r="B958">
        <v>946</v>
      </c>
      <c r="C958" s="1">
        <v>1.6471457617091576</v>
      </c>
      <c r="D958" s="1">
        <f t="shared" si="113"/>
        <v>235.91171428277303</v>
      </c>
      <c r="E958" s="18">
        <f t="shared" si="120"/>
        <v>-60.016413459277487</v>
      </c>
      <c r="F958" s="1">
        <f t="shared" si="118"/>
        <v>175.89530082349555</v>
      </c>
      <c r="G958" s="9">
        <f t="shared" si="114"/>
        <v>0</v>
      </c>
      <c r="H958" s="9">
        <f t="shared" si="115"/>
        <v>80</v>
      </c>
      <c r="I958" s="9">
        <f t="shared" si="116"/>
        <v>57.537180494097328</v>
      </c>
      <c r="J958" s="9">
        <f t="shared" si="117"/>
        <v>38.358120329398218</v>
      </c>
      <c r="K958" s="1">
        <f t="shared" si="119"/>
        <v>175.89530082349555</v>
      </c>
      <c r="L958" s="1"/>
      <c r="M958" s="3"/>
      <c r="N958" s="3"/>
      <c r="O958" s="3"/>
      <c r="P958" s="3"/>
      <c r="Q958" s="3"/>
      <c r="R958" s="1"/>
    </row>
    <row r="959" spans="2:18" x14ac:dyDescent="0.2">
      <c r="B959">
        <v>947</v>
      </c>
      <c r="C959" s="1">
        <v>1.6489918440029061</v>
      </c>
      <c r="D959" s="1">
        <f t="shared" si="113"/>
        <v>236.17316651791981</v>
      </c>
      <c r="E959" s="18">
        <f t="shared" si="120"/>
        <v>-60.016413459277487</v>
      </c>
      <c r="F959" s="1">
        <f t="shared" si="118"/>
        <v>176.15675305864232</v>
      </c>
      <c r="G959" s="9">
        <f t="shared" si="114"/>
        <v>0</v>
      </c>
      <c r="H959" s="9">
        <f t="shared" si="115"/>
        <v>80</v>
      </c>
      <c r="I959" s="9">
        <f t="shared" si="116"/>
        <v>57.694051835185391</v>
      </c>
      <c r="J959" s="9">
        <f t="shared" si="117"/>
        <v>38.462701223456932</v>
      </c>
      <c r="K959" s="1">
        <f t="shared" si="119"/>
        <v>176.15675305864232</v>
      </c>
      <c r="L959" s="1"/>
      <c r="M959" s="3"/>
      <c r="N959" s="3"/>
      <c r="O959" s="3"/>
      <c r="P959" s="3"/>
      <c r="Q959" s="3"/>
      <c r="R959" s="1"/>
    </row>
    <row r="960" spans="2:18" x14ac:dyDescent="0.2">
      <c r="B960">
        <v>948</v>
      </c>
      <c r="C960" s="1">
        <v>1.6616036075685363</v>
      </c>
      <c r="D960" s="1">
        <f t="shared" si="113"/>
        <v>237.96708136889845</v>
      </c>
      <c r="E960" s="18">
        <f t="shared" si="120"/>
        <v>-60.016413459277487</v>
      </c>
      <c r="F960" s="1">
        <f t="shared" si="118"/>
        <v>177.95066790962096</v>
      </c>
      <c r="G960" s="9">
        <f t="shared" si="114"/>
        <v>0</v>
      </c>
      <c r="H960" s="9">
        <f t="shared" si="115"/>
        <v>80</v>
      </c>
      <c r="I960" s="9">
        <f t="shared" si="116"/>
        <v>58.770400745772577</v>
      </c>
      <c r="J960" s="9">
        <f t="shared" si="117"/>
        <v>39.180267163848384</v>
      </c>
      <c r="K960" s="1">
        <f t="shared" si="119"/>
        <v>177.95066790962096</v>
      </c>
      <c r="L960" s="1"/>
      <c r="M960" s="3"/>
      <c r="N960" s="3"/>
      <c r="O960" s="3"/>
      <c r="P960" s="3"/>
      <c r="Q960" s="3"/>
      <c r="R960" s="1"/>
    </row>
    <row r="961" spans="2:18" x14ac:dyDescent="0.2">
      <c r="B961">
        <v>949</v>
      </c>
      <c r="C961" s="1">
        <v>1.6661736404572278</v>
      </c>
      <c r="D961" s="1">
        <f t="shared" si="113"/>
        <v>238.6204872183387</v>
      </c>
      <c r="E961" s="18">
        <f t="shared" si="120"/>
        <v>-60.016413459277487</v>
      </c>
      <c r="F961" s="1">
        <f t="shared" si="118"/>
        <v>178.60407375906121</v>
      </c>
      <c r="G961" s="9">
        <f t="shared" si="114"/>
        <v>0</v>
      </c>
      <c r="H961" s="9">
        <f t="shared" si="115"/>
        <v>80</v>
      </c>
      <c r="I961" s="9">
        <f t="shared" si="116"/>
        <v>59.162444255436725</v>
      </c>
      <c r="J961" s="9">
        <f t="shared" si="117"/>
        <v>39.441629503624483</v>
      </c>
      <c r="K961" s="1">
        <f t="shared" si="119"/>
        <v>178.60407375906121</v>
      </c>
      <c r="L961" s="1"/>
      <c r="M961" s="3"/>
      <c r="N961" s="3"/>
      <c r="O961" s="3"/>
      <c r="P961" s="3"/>
      <c r="Q961" s="3"/>
      <c r="R961" s="1"/>
    </row>
    <row r="962" spans="2:18" x14ac:dyDescent="0.2">
      <c r="B962">
        <v>950</v>
      </c>
      <c r="C962" s="1">
        <v>1.6758190711119973</v>
      </c>
      <c r="D962" s="1">
        <f t="shared" si="113"/>
        <v>240.00544933705586</v>
      </c>
      <c r="E962" s="18">
        <f t="shared" si="120"/>
        <v>-60.016413459277487</v>
      </c>
      <c r="F962" s="1">
        <f t="shared" si="118"/>
        <v>179.98903587777838</v>
      </c>
      <c r="G962" s="9">
        <f t="shared" si="114"/>
        <v>0</v>
      </c>
      <c r="H962" s="9">
        <f t="shared" si="115"/>
        <v>80</v>
      </c>
      <c r="I962" s="9">
        <f t="shared" si="116"/>
        <v>59.993421526667021</v>
      </c>
      <c r="J962" s="9">
        <f t="shared" si="117"/>
        <v>39.995614351111357</v>
      </c>
      <c r="K962" s="1">
        <f t="shared" si="119"/>
        <v>179.98903587777838</v>
      </c>
      <c r="L962" s="1"/>
      <c r="M962" s="3"/>
      <c r="N962" s="3"/>
      <c r="O962" s="3"/>
      <c r="P962" s="3"/>
      <c r="Q962" s="3"/>
      <c r="R962" s="1"/>
    </row>
    <row r="963" spans="2:18" x14ac:dyDescent="0.2">
      <c r="B963">
        <v>951</v>
      </c>
      <c r="C963" s="1">
        <v>1.6781327245096795</v>
      </c>
      <c r="D963" s="1">
        <f t="shared" si="113"/>
        <v>240.33885435260109</v>
      </c>
      <c r="E963" s="18">
        <f t="shared" si="120"/>
        <v>-60.016413459277487</v>
      </c>
      <c r="F963" s="1">
        <f t="shared" si="118"/>
        <v>180.3224408933236</v>
      </c>
      <c r="G963" s="9">
        <f t="shared" si="114"/>
        <v>0</v>
      </c>
      <c r="H963" s="9">
        <f t="shared" si="115"/>
        <v>80</v>
      </c>
      <c r="I963" s="9">
        <f t="shared" si="116"/>
        <v>60.19346453599416</v>
      </c>
      <c r="J963" s="9">
        <f t="shared" si="117"/>
        <v>40.128976357329442</v>
      </c>
      <c r="K963" s="1">
        <f t="shared" si="119"/>
        <v>180.3224408933236</v>
      </c>
      <c r="L963" s="1"/>
      <c r="M963" s="3"/>
      <c r="N963" s="3"/>
      <c r="O963" s="3"/>
      <c r="P963" s="3"/>
      <c r="Q963" s="3"/>
      <c r="R963" s="1"/>
    </row>
    <row r="964" spans="2:18" x14ac:dyDescent="0.2">
      <c r="B964">
        <v>952</v>
      </c>
      <c r="C964" s="1">
        <v>1.6789510982792617</v>
      </c>
      <c r="D964" s="1">
        <f t="shared" si="113"/>
        <v>240.45689553930086</v>
      </c>
      <c r="E964" s="18">
        <f t="shared" si="120"/>
        <v>-60.016413459277487</v>
      </c>
      <c r="F964" s="1">
        <f t="shared" si="118"/>
        <v>180.44048208002337</v>
      </c>
      <c r="G964" s="9">
        <f t="shared" si="114"/>
        <v>0</v>
      </c>
      <c r="H964" s="9">
        <f t="shared" si="115"/>
        <v>80</v>
      </c>
      <c r="I964" s="9">
        <f t="shared" si="116"/>
        <v>60.264289248014023</v>
      </c>
      <c r="J964" s="9">
        <f t="shared" si="117"/>
        <v>40.176192832009349</v>
      </c>
      <c r="K964" s="1">
        <f t="shared" si="119"/>
        <v>180.44048208002337</v>
      </c>
      <c r="L964" s="1"/>
      <c r="M964" s="3"/>
      <c r="N964" s="3"/>
      <c r="O964" s="3"/>
      <c r="P964" s="3"/>
      <c r="Q964" s="3"/>
      <c r="R964" s="1"/>
    </row>
    <row r="965" spans="2:18" x14ac:dyDescent="0.2">
      <c r="B965">
        <v>953</v>
      </c>
      <c r="C965" s="1">
        <v>1.6987058085466697</v>
      </c>
      <c r="D965" s="1">
        <f t="shared" si="113"/>
        <v>243.32394708719843</v>
      </c>
      <c r="E965" s="18">
        <f t="shared" si="120"/>
        <v>-60.016413459277487</v>
      </c>
      <c r="F965" s="1">
        <f t="shared" si="118"/>
        <v>183.30753362792095</v>
      </c>
      <c r="G965" s="9">
        <f t="shared" si="114"/>
        <v>0</v>
      </c>
      <c r="H965" s="9">
        <f t="shared" si="115"/>
        <v>80</v>
      </c>
      <c r="I965" s="9">
        <f t="shared" si="116"/>
        <v>61.984520176752568</v>
      </c>
      <c r="J965" s="9">
        <f t="shared" si="117"/>
        <v>41.323013451168379</v>
      </c>
      <c r="K965" s="1">
        <f t="shared" si="119"/>
        <v>183.30753362792095</v>
      </c>
      <c r="L965" s="1"/>
      <c r="M965" s="3"/>
      <c r="N965" s="3"/>
      <c r="O965" s="3"/>
      <c r="P965" s="3"/>
      <c r="Q965" s="3"/>
      <c r="R965" s="1"/>
    </row>
    <row r="966" spans="2:18" x14ac:dyDescent="0.2">
      <c r="B966">
        <v>954</v>
      </c>
      <c r="C966" s="1">
        <v>1.7038886876212362</v>
      </c>
      <c r="D966" s="1">
        <f t="shared" si="113"/>
        <v>244.08179598445</v>
      </c>
      <c r="E966" s="18">
        <f t="shared" si="120"/>
        <v>-60.016413459277487</v>
      </c>
      <c r="F966" s="1">
        <f t="shared" si="118"/>
        <v>184.06538252517251</v>
      </c>
      <c r="G966" s="9">
        <f t="shared" si="114"/>
        <v>0</v>
      </c>
      <c r="H966" s="9">
        <f t="shared" si="115"/>
        <v>80</v>
      </c>
      <c r="I966" s="9">
        <f t="shared" si="116"/>
        <v>62.439229515103506</v>
      </c>
      <c r="J966" s="9">
        <f t="shared" si="117"/>
        <v>41.626153010069004</v>
      </c>
      <c r="K966" s="1">
        <f t="shared" si="119"/>
        <v>184.06538252517251</v>
      </c>
      <c r="L966" s="1"/>
      <c r="M966" s="3"/>
      <c r="N966" s="3"/>
      <c r="O966" s="3"/>
      <c r="P966" s="3"/>
      <c r="Q966" s="3"/>
      <c r="R966" s="1"/>
    </row>
    <row r="967" spans="2:18" x14ac:dyDescent="0.2">
      <c r="B967">
        <v>955</v>
      </c>
      <c r="C967" s="1">
        <v>1.7102647181252477</v>
      </c>
      <c r="D967" s="1">
        <f t="shared" si="113"/>
        <v>245.01734816220818</v>
      </c>
      <c r="E967" s="18">
        <f t="shared" si="120"/>
        <v>-60.016413459277487</v>
      </c>
      <c r="F967" s="1">
        <f t="shared" si="118"/>
        <v>185.00093470293069</v>
      </c>
      <c r="G967" s="9">
        <f t="shared" si="114"/>
        <v>0</v>
      </c>
      <c r="H967" s="9">
        <f t="shared" si="115"/>
        <v>80</v>
      </c>
      <c r="I967" s="9">
        <f t="shared" si="116"/>
        <v>63.000560821758413</v>
      </c>
      <c r="J967" s="9">
        <f t="shared" si="117"/>
        <v>42.00037388117228</v>
      </c>
      <c r="K967" s="1">
        <f t="shared" si="119"/>
        <v>185.00093470293069</v>
      </c>
      <c r="L967" s="1"/>
      <c r="M967" s="3"/>
      <c r="N967" s="3"/>
      <c r="O967" s="3"/>
      <c r="P967" s="3"/>
      <c r="Q967" s="3"/>
      <c r="R967" s="1"/>
    </row>
    <row r="968" spans="2:18" x14ac:dyDescent="0.2">
      <c r="B968">
        <v>956</v>
      </c>
      <c r="C968" s="1">
        <v>1.7120877855276546</v>
      </c>
      <c r="D968" s="1">
        <f t="shared" si="113"/>
        <v>245.28550467996814</v>
      </c>
      <c r="E968" s="18">
        <f t="shared" si="120"/>
        <v>-60.016413459277487</v>
      </c>
      <c r="F968" s="1">
        <f t="shared" si="118"/>
        <v>185.26909122069065</v>
      </c>
      <c r="G968" s="9">
        <f t="shared" si="114"/>
        <v>0</v>
      </c>
      <c r="H968" s="9">
        <f t="shared" si="115"/>
        <v>80</v>
      </c>
      <c r="I968" s="9">
        <f t="shared" si="116"/>
        <v>63.161454732414391</v>
      </c>
      <c r="J968" s="9">
        <f t="shared" si="117"/>
        <v>42.107636488276263</v>
      </c>
      <c r="K968" s="1">
        <f t="shared" si="119"/>
        <v>185.26909122069065</v>
      </c>
      <c r="L968" s="1"/>
      <c r="M968" s="3"/>
      <c r="N968" s="3"/>
      <c r="O968" s="3"/>
      <c r="P968" s="3"/>
      <c r="Q968" s="3"/>
      <c r="R968" s="1"/>
    </row>
    <row r="969" spans="2:18" x14ac:dyDescent="0.2">
      <c r="B969">
        <v>957</v>
      </c>
      <c r="C969" s="1">
        <v>1.7121671156139002</v>
      </c>
      <c r="D969" s="1">
        <f t="shared" si="113"/>
        <v>245.29718006997348</v>
      </c>
      <c r="E969" s="18">
        <f t="shared" si="120"/>
        <v>-60.016413459277487</v>
      </c>
      <c r="F969" s="1">
        <f t="shared" si="118"/>
        <v>185.28076661069599</v>
      </c>
      <c r="G969" s="9">
        <f t="shared" si="114"/>
        <v>0</v>
      </c>
      <c r="H969" s="9">
        <f t="shared" si="115"/>
        <v>80</v>
      </c>
      <c r="I969" s="9">
        <f t="shared" si="116"/>
        <v>63.168459966417593</v>
      </c>
      <c r="J969" s="9">
        <f t="shared" si="117"/>
        <v>42.112306644278398</v>
      </c>
      <c r="K969" s="1">
        <f t="shared" si="119"/>
        <v>185.28076661069599</v>
      </c>
      <c r="L969" s="1"/>
      <c r="M969" s="3"/>
      <c r="N969" s="3"/>
      <c r="O969" s="3"/>
      <c r="P969" s="3"/>
      <c r="Q969" s="3"/>
      <c r="R969" s="1"/>
    </row>
    <row r="970" spans="2:18" x14ac:dyDescent="0.2">
      <c r="B970">
        <v>958</v>
      </c>
      <c r="C970" s="1">
        <v>1.7180869799620049</v>
      </c>
      <c r="D970" s="1">
        <f t="shared" si="113"/>
        <v>246.17000487225553</v>
      </c>
      <c r="E970" s="18">
        <f t="shared" si="120"/>
        <v>-60.016413459277487</v>
      </c>
      <c r="F970" s="1">
        <f t="shared" si="118"/>
        <v>186.15359141297805</v>
      </c>
      <c r="G970" s="9">
        <f t="shared" si="114"/>
        <v>0</v>
      </c>
      <c r="H970" s="9">
        <f t="shared" si="115"/>
        <v>80</v>
      </c>
      <c r="I970" s="9">
        <f t="shared" si="116"/>
        <v>63.692154847786824</v>
      </c>
      <c r="J970" s="9">
        <f t="shared" si="117"/>
        <v>42.461436565191221</v>
      </c>
      <c r="K970" s="1">
        <f t="shared" si="119"/>
        <v>186.15359141297802</v>
      </c>
      <c r="L970" s="1"/>
      <c r="M970" s="3"/>
      <c r="N970" s="3"/>
      <c r="O970" s="3"/>
      <c r="P970" s="3"/>
      <c r="Q970" s="3"/>
      <c r="R970" s="1"/>
    </row>
    <row r="971" spans="2:18" x14ac:dyDescent="0.2">
      <c r="B971">
        <v>959</v>
      </c>
      <c r="C971" s="1">
        <v>1.7193592083247677</v>
      </c>
      <c r="D971" s="1">
        <f t="shared" si="113"/>
        <v>246.35798728745178</v>
      </c>
      <c r="E971" s="18">
        <f t="shared" si="120"/>
        <v>-60.016413459277487</v>
      </c>
      <c r="F971" s="1">
        <f t="shared" si="118"/>
        <v>186.34157382817429</v>
      </c>
      <c r="G971" s="9">
        <f t="shared" si="114"/>
        <v>0</v>
      </c>
      <c r="H971" s="9">
        <f t="shared" si="115"/>
        <v>80</v>
      </c>
      <c r="I971" s="9">
        <f t="shared" si="116"/>
        <v>63.804944296904573</v>
      </c>
      <c r="J971" s="9">
        <f t="shared" si="117"/>
        <v>42.536629531269718</v>
      </c>
      <c r="K971" s="1">
        <f t="shared" si="119"/>
        <v>186.34157382817429</v>
      </c>
      <c r="L971" s="1"/>
      <c r="M971" s="3"/>
      <c r="N971" s="3"/>
      <c r="O971" s="3"/>
      <c r="P971" s="3"/>
      <c r="Q971" s="3"/>
      <c r="R971" s="1"/>
    </row>
    <row r="972" spans="2:18" x14ac:dyDescent="0.2">
      <c r="B972">
        <v>960</v>
      </c>
      <c r="C972" s="1">
        <v>1.7214416557431964</v>
      </c>
      <c r="D972" s="1">
        <f t="shared" si="113"/>
        <v>246.66599620387402</v>
      </c>
      <c r="E972" s="18">
        <f t="shared" si="120"/>
        <v>-60.016413459277487</v>
      </c>
      <c r="F972" s="1">
        <f t="shared" si="118"/>
        <v>186.64958274459653</v>
      </c>
      <c r="G972" s="9">
        <f t="shared" si="114"/>
        <v>0</v>
      </c>
      <c r="H972" s="9">
        <f t="shared" si="115"/>
        <v>80</v>
      </c>
      <c r="I972" s="9">
        <f t="shared" si="116"/>
        <v>63.989749646757915</v>
      </c>
      <c r="J972" s="9">
        <f t="shared" si="117"/>
        <v>42.659833097838614</v>
      </c>
      <c r="K972" s="1">
        <f t="shared" si="119"/>
        <v>186.6495827445965</v>
      </c>
      <c r="L972" s="1"/>
      <c r="M972" s="3"/>
      <c r="N972" s="3"/>
      <c r="O972" s="3"/>
      <c r="P972" s="3"/>
      <c r="Q972" s="3"/>
      <c r="R972" s="1"/>
    </row>
    <row r="973" spans="2:18" x14ac:dyDescent="0.2">
      <c r="B973">
        <v>961</v>
      </c>
      <c r="C973" s="1">
        <v>1.7347939430539057</v>
      </c>
      <c r="D973" s="1">
        <f t="shared" ref="D973:D1012" si="121">a0*EXP((RR-0.5*sigma^2)*T+sigma*SQRT(T)*C973)</f>
        <v>248.65006630494005</v>
      </c>
      <c r="E973" s="18">
        <f t="shared" si="120"/>
        <v>-60.016413459277487</v>
      </c>
      <c r="F973" s="1">
        <f t="shared" si="118"/>
        <v>188.63365284566257</v>
      </c>
      <c r="G973" s="9">
        <f t="shared" ref="G973:G1012" si="122">IF(F973&lt;F,MIN(disc,F973),0)</f>
        <v>0</v>
      </c>
      <c r="H973" s="9">
        <f t="shared" ref="H973:H1012" si="123">IF(F973&gt;=F,F,F973-G973)</f>
        <v>80</v>
      </c>
      <c r="I973" s="9">
        <f t="shared" ref="I973:I1012" si="124">(1-tax)*(F973-G973-H973)</f>
        <v>65.18019170739754</v>
      </c>
      <c r="J973" s="9">
        <f t="shared" ref="J973:J1012" si="125">tax*(F973-G973-H973)</f>
        <v>43.453461138265027</v>
      </c>
      <c r="K973" s="1">
        <f t="shared" si="119"/>
        <v>188.63365284566257</v>
      </c>
      <c r="L973" s="1"/>
      <c r="M973" s="3"/>
      <c r="N973" s="3"/>
      <c r="O973" s="3"/>
      <c r="P973" s="3"/>
      <c r="Q973" s="3"/>
      <c r="R973" s="1"/>
    </row>
    <row r="974" spans="2:18" x14ac:dyDescent="0.2">
      <c r="B974">
        <v>962</v>
      </c>
      <c r="C974" s="1">
        <v>1.7489398818029465</v>
      </c>
      <c r="D974" s="1">
        <f t="shared" si="121"/>
        <v>250.76948107983989</v>
      </c>
      <c r="E974" s="18">
        <f t="shared" si="120"/>
        <v>-60.016413459277487</v>
      </c>
      <c r="F974" s="1">
        <f t="shared" ref="F974:F1012" si="126">D974+E974</f>
        <v>190.7530676205624</v>
      </c>
      <c r="G974" s="9">
        <f t="shared" si="122"/>
        <v>0</v>
      </c>
      <c r="H974" s="9">
        <f t="shared" si="123"/>
        <v>80</v>
      </c>
      <c r="I974" s="9">
        <f t="shared" si="124"/>
        <v>66.451840572337446</v>
      </c>
      <c r="J974" s="9">
        <f t="shared" si="125"/>
        <v>44.301227048224966</v>
      </c>
      <c r="K974" s="1">
        <f t="shared" ref="K974:K1012" si="127">SUM(G974:J974)</f>
        <v>190.75306762056243</v>
      </c>
      <c r="L974" s="1"/>
      <c r="M974" s="3"/>
      <c r="N974" s="3"/>
      <c r="O974" s="3"/>
      <c r="P974" s="3"/>
      <c r="Q974" s="3"/>
      <c r="R974" s="1"/>
    </row>
    <row r="975" spans="2:18" x14ac:dyDescent="0.2">
      <c r="B975">
        <v>963</v>
      </c>
      <c r="C975" s="1">
        <v>1.7528720372646183</v>
      </c>
      <c r="D975" s="1">
        <f t="shared" si="121"/>
        <v>251.36181830448626</v>
      </c>
      <c r="E975" s="18">
        <f t="shared" si="120"/>
        <v>-60.016413459277487</v>
      </c>
      <c r="F975" s="1">
        <f t="shared" si="126"/>
        <v>191.34540484520878</v>
      </c>
      <c r="G975" s="9">
        <f t="shared" si="122"/>
        <v>0</v>
      </c>
      <c r="H975" s="9">
        <f t="shared" si="123"/>
        <v>80</v>
      </c>
      <c r="I975" s="9">
        <f t="shared" si="124"/>
        <v>66.807242907125257</v>
      </c>
      <c r="J975" s="9">
        <f t="shared" si="125"/>
        <v>44.538161938083512</v>
      </c>
      <c r="K975" s="1">
        <f t="shared" si="127"/>
        <v>191.34540484520878</v>
      </c>
      <c r="L975" s="1"/>
      <c r="M975" s="3"/>
      <c r="N975" s="3"/>
      <c r="O975" s="3"/>
      <c r="P975" s="3"/>
      <c r="Q975" s="3"/>
      <c r="R975" s="1"/>
    </row>
    <row r="976" spans="2:18" x14ac:dyDescent="0.2">
      <c r="B976">
        <v>964</v>
      </c>
      <c r="C976" s="1">
        <v>1.7646480408681942</v>
      </c>
      <c r="D976" s="1">
        <f t="shared" si="121"/>
        <v>253.14413004942185</v>
      </c>
      <c r="E976" s="18">
        <f t="shared" si="120"/>
        <v>-60.016413459277487</v>
      </c>
      <c r="F976" s="1">
        <f t="shared" si="126"/>
        <v>193.12771659014436</v>
      </c>
      <c r="G976" s="9">
        <f t="shared" si="122"/>
        <v>0</v>
      </c>
      <c r="H976" s="9">
        <f t="shared" si="123"/>
        <v>80</v>
      </c>
      <c r="I976" s="9">
        <f t="shared" si="124"/>
        <v>67.87662995408661</v>
      </c>
      <c r="J976" s="9">
        <f t="shared" si="125"/>
        <v>45.25108663605775</v>
      </c>
      <c r="K976" s="1">
        <f t="shared" si="127"/>
        <v>193.12771659014436</v>
      </c>
      <c r="L976" s="1"/>
      <c r="M976" s="3"/>
      <c r="N976" s="3"/>
      <c r="O976" s="3"/>
      <c r="P976" s="3"/>
      <c r="Q976" s="3"/>
      <c r="R976" s="1"/>
    </row>
    <row r="977" spans="2:18" x14ac:dyDescent="0.2">
      <c r="B977">
        <v>965</v>
      </c>
      <c r="C977" s="1">
        <v>1.7734383679829853</v>
      </c>
      <c r="D977" s="1">
        <f t="shared" si="121"/>
        <v>254.48278894736069</v>
      </c>
      <c r="E977" s="18">
        <f t="shared" si="120"/>
        <v>-60.016413459277487</v>
      </c>
      <c r="F977" s="1">
        <f t="shared" si="126"/>
        <v>194.4663754880832</v>
      </c>
      <c r="G977" s="9">
        <f t="shared" si="122"/>
        <v>0</v>
      </c>
      <c r="H977" s="9">
        <f t="shared" si="123"/>
        <v>80</v>
      </c>
      <c r="I977" s="9">
        <f t="shared" si="124"/>
        <v>68.679825292849912</v>
      </c>
      <c r="J977" s="9">
        <f t="shared" si="125"/>
        <v>45.786550195233282</v>
      </c>
      <c r="K977" s="1">
        <f t="shared" si="127"/>
        <v>194.46637548808317</v>
      </c>
      <c r="L977" s="1"/>
      <c r="M977" s="3"/>
      <c r="N977" s="3"/>
      <c r="O977" s="3"/>
      <c r="P977" s="3"/>
      <c r="Q977" s="3"/>
      <c r="R977" s="1"/>
    </row>
    <row r="978" spans="2:18" x14ac:dyDescent="0.2">
      <c r="B978">
        <v>966</v>
      </c>
      <c r="C978" s="1">
        <v>1.7805424857961842</v>
      </c>
      <c r="D978" s="1">
        <f t="shared" si="121"/>
        <v>255.56982946917083</v>
      </c>
      <c r="E978" s="18">
        <f t="shared" si="120"/>
        <v>-60.016413459277487</v>
      </c>
      <c r="F978" s="1">
        <f t="shared" si="126"/>
        <v>195.55341600989334</v>
      </c>
      <c r="G978" s="9">
        <f t="shared" si="122"/>
        <v>0</v>
      </c>
      <c r="H978" s="9">
        <f t="shared" si="123"/>
        <v>80</v>
      </c>
      <c r="I978" s="9">
        <f t="shared" si="124"/>
        <v>69.332049605936007</v>
      </c>
      <c r="J978" s="9">
        <f t="shared" si="125"/>
        <v>46.22136640395734</v>
      </c>
      <c r="K978" s="1">
        <f t="shared" si="127"/>
        <v>195.55341600989334</v>
      </c>
      <c r="L978" s="1"/>
      <c r="M978" s="3"/>
      <c r="N978" s="3"/>
      <c r="O978" s="3"/>
      <c r="P978" s="3"/>
      <c r="Q978" s="3"/>
      <c r="R978" s="1"/>
    </row>
    <row r="979" spans="2:18" x14ac:dyDescent="0.2">
      <c r="B979">
        <v>967</v>
      </c>
      <c r="C979" s="1">
        <v>1.7826274136292208</v>
      </c>
      <c r="D979" s="1">
        <f t="shared" si="121"/>
        <v>255.889736312704</v>
      </c>
      <c r="E979" s="18">
        <f t="shared" si="120"/>
        <v>-60.016413459277487</v>
      </c>
      <c r="F979" s="1">
        <f t="shared" si="126"/>
        <v>195.87332285342652</v>
      </c>
      <c r="G979" s="9">
        <f t="shared" si="122"/>
        <v>0</v>
      </c>
      <c r="H979" s="9">
        <f t="shared" si="123"/>
        <v>80</v>
      </c>
      <c r="I979" s="9">
        <f t="shared" si="124"/>
        <v>69.523993712055912</v>
      </c>
      <c r="J979" s="9">
        <f t="shared" si="125"/>
        <v>46.34932914137061</v>
      </c>
      <c r="K979" s="1">
        <f t="shared" si="127"/>
        <v>195.87332285342654</v>
      </c>
      <c r="L979" s="1"/>
      <c r="M979" s="3"/>
      <c r="N979" s="3"/>
      <c r="O979" s="3"/>
      <c r="P979" s="3"/>
      <c r="Q979" s="3"/>
      <c r="R979" s="1"/>
    </row>
    <row r="980" spans="2:18" x14ac:dyDescent="0.2">
      <c r="B980">
        <v>968</v>
      </c>
      <c r="C980" s="1">
        <v>1.7927983089821722</v>
      </c>
      <c r="D980" s="1">
        <f t="shared" si="121"/>
        <v>257.45608744767435</v>
      </c>
      <c r="E980" s="18">
        <f t="shared" si="120"/>
        <v>-60.016413459277487</v>
      </c>
      <c r="F980" s="1">
        <f t="shared" si="126"/>
        <v>197.43967398839686</v>
      </c>
      <c r="G980" s="9">
        <f t="shared" si="122"/>
        <v>0</v>
      </c>
      <c r="H980" s="9">
        <f t="shared" si="123"/>
        <v>80</v>
      </c>
      <c r="I980" s="9">
        <f t="shared" si="124"/>
        <v>70.463804393038117</v>
      </c>
      <c r="J980" s="9">
        <f t="shared" si="125"/>
        <v>46.975869595358745</v>
      </c>
      <c r="K980" s="1">
        <f t="shared" si="127"/>
        <v>197.43967398839686</v>
      </c>
      <c r="L980" s="1"/>
      <c r="M980" s="3"/>
      <c r="N980" s="3"/>
      <c r="O980" s="3"/>
      <c r="P980" s="3"/>
      <c r="Q980" s="3"/>
      <c r="R980" s="1"/>
    </row>
    <row r="981" spans="2:18" x14ac:dyDescent="0.2">
      <c r="B981">
        <v>969</v>
      </c>
      <c r="C981" s="1">
        <v>1.8168086781338268</v>
      </c>
      <c r="D981" s="1">
        <f t="shared" si="121"/>
        <v>261.19190174129028</v>
      </c>
      <c r="E981" s="18">
        <f t="shared" si="120"/>
        <v>-60.016413459277487</v>
      </c>
      <c r="F981" s="1">
        <f t="shared" si="126"/>
        <v>201.17548828201279</v>
      </c>
      <c r="G981" s="9">
        <f t="shared" si="122"/>
        <v>0</v>
      </c>
      <c r="H981" s="9">
        <f t="shared" si="123"/>
        <v>80</v>
      </c>
      <c r="I981" s="9">
        <f t="shared" si="124"/>
        <v>72.705292969207676</v>
      </c>
      <c r="J981" s="9">
        <f t="shared" si="125"/>
        <v>48.470195312805117</v>
      </c>
      <c r="K981" s="1">
        <f t="shared" si="127"/>
        <v>201.17548828201279</v>
      </c>
      <c r="L981" s="1"/>
      <c r="M981" s="3"/>
      <c r="N981" s="3"/>
      <c r="O981" s="3"/>
      <c r="P981" s="3"/>
      <c r="Q981" s="3"/>
      <c r="R981" s="1"/>
    </row>
    <row r="982" spans="2:18" x14ac:dyDescent="0.2">
      <c r="B982">
        <v>970</v>
      </c>
      <c r="C982" s="1">
        <v>1.8227866775577215</v>
      </c>
      <c r="D982" s="1">
        <f t="shared" si="121"/>
        <v>262.13042690885754</v>
      </c>
      <c r="E982" s="18">
        <f t="shared" si="120"/>
        <v>-60.016413459277487</v>
      </c>
      <c r="F982" s="1">
        <f t="shared" si="126"/>
        <v>202.11401344958006</v>
      </c>
      <c r="G982" s="9">
        <f t="shared" si="122"/>
        <v>0</v>
      </c>
      <c r="H982" s="9">
        <f t="shared" si="123"/>
        <v>80</v>
      </c>
      <c r="I982" s="9">
        <f t="shared" si="124"/>
        <v>73.268408069748034</v>
      </c>
      <c r="J982" s="9">
        <f t="shared" si="125"/>
        <v>48.845605379832023</v>
      </c>
      <c r="K982" s="1">
        <f t="shared" si="127"/>
        <v>202.11401344958006</v>
      </c>
      <c r="L982" s="1"/>
      <c r="M982" s="3"/>
      <c r="N982" s="3"/>
      <c r="O982" s="3"/>
      <c r="P982" s="3"/>
      <c r="Q982" s="3"/>
      <c r="R982" s="1"/>
    </row>
    <row r="983" spans="2:18" x14ac:dyDescent="0.2">
      <c r="B983">
        <v>971</v>
      </c>
      <c r="C983" s="1">
        <v>1.8363439190158692</v>
      </c>
      <c r="D983" s="1">
        <f t="shared" si="121"/>
        <v>264.27138203206675</v>
      </c>
      <c r="E983" s="18">
        <f t="shared" si="120"/>
        <v>-60.016413459277487</v>
      </c>
      <c r="F983" s="1">
        <f t="shared" si="126"/>
        <v>204.25496857278927</v>
      </c>
      <c r="G983" s="9">
        <f t="shared" si="122"/>
        <v>0</v>
      </c>
      <c r="H983" s="9">
        <f t="shared" si="123"/>
        <v>80</v>
      </c>
      <c r="I983" s="9">
        <f t="shared" si="124"/>
        <v>74.552981143673563</v>
      </c>
      <c r="J983" s="9">
        <f t="shared" si="125"/>
        <v>49.701987429115711</v>
      </c>
      <c r="K983" s="1">
        <f t="shared" si="127"/>
        <v>204.25496857278927</v>
      </c>
      <c r="L983" s="1"/>
      <c r="M983" s="3"/>
      <c r="N983" s="3"/>
      <c r="O983" s="3"/>
      <c r="P983" s="3"/>
      <c r="Q983" s="3"/>
      <c r="R983" s="1"/>
    </row>
    <row r="984" spans="2:18" x14ac:dyDescent="0.2">
      <c r="B984">
        <v>972</v>
      </c>
      <c r="C984" s="1">
        <v>1.8539553360249599</v>
      </c>
      <c r="D984" s="1">
        <f t="shared" si="121"/>
        <v>267.07870429480965</v>
      </c>
      <c r="E984" s="18">
        <f t="shared" si="120"/>
        <v>-60.016413459277487</v>
      </c>
      <c r="F984" s="1">
        <f t="shared" si="126"/>
        <v>207.06229083553217</v>
      </c>
      <c r="G984" s="9">
        <f t="shared" si="122"/>
        <v>0</v>
      </c>
      <c r="H984" s="9">
        <f t="shared" si="123"/>
        <v>80</v>
      </c>
      <c r="I984" s="9">
        <f t="shared" si="124"/>
        <v>76.237374501319294</v>
      </c>
      <c r="J984" s="9">
        <f t="shared" si="125"/>
        <v>50.824916334212872</v>
      </c>
      <c r="K984" s="1">
        <f t="shared" si="127"/>
        <v>207.06229083553217</v>
      </c>
      <c r="L984" s="1"/>
      <c r="M984" s="3"/>
      <c r="N984" s="3"/>
      <c r="O984" s="3"/>
      <c r="P984" s="3"/>
      <c r="Q984" s="3"/>
      <c r="R984" s="1"/>
    </row>
    <row r="985" spans="2:18" x14ac:dyDescent="0.2">
      <c r="B985">
        <v>973</v>
      </c>
      <c r="C985" s="1">
        <v>1.8683412061022093</v>
      </c>
      <c r="D985" s="1">
        <f t="shared" si="121"/>
        <v>269.39397781165877</v>
      </c>
      <c r="E985" s="18">
        <f t="shared" si="120"/>
        <v>-60.016413459277487</v>
      </c>
      <c r="F985" s="1">
        <f t="shared" si="126"/>
        <v>209.37756435238128</v>
      </c>
      <c r="G985" s="9">
        <f t="shared" si="122"/>
        <v>0</v>
      </c>
      <c r="H985" s="9">
        <f t="shared" si="123"/>
        <v>80</v>
      </c>
      <c r="I985" s="9">
        <f t="shared" si="124"/>
        <v>77.626538611428771</v>
      </c>
      <c r="J985" s="9">
        <f t="shared" si="125"/>
        <v>51.751025740952514</v>
      </c>
      <c r="K985" s="1">
        <f t="shared" si="127"/>
        <v>209.37756435238128</v>
      </c>
      <c r="L985" s="1"/>
      <c r="M985" s="3"/>
      <c r="N985" s="3"/>
      <c r="O985" s="3"/>
      <c r="P985" s="3"/>
      <c r="Q985" s="3"/>
      <c r="R985" s="1"/>
    </row>
    <row r="986" spans="2:18" x14ac:dyDescent="0.2">
      <c r="B986">
        <v>974</v>
      </c>
      <c r="C986" s="1">
        <v>1.8846879303247457</v>
      </c>
      <c r="D986" s="1">
        <f t="shared" si="121"/>
        <v>272.04920323500244</v>
      </c>
      <c r="E986" s="18">
        <f t="shared" si="120"/>
        <v>-60.016413459277487</v>
      </c>
      <c r="F986" s="1">
        <f t="shared" si="126"/>
        <v>212.03278977572495</v>
      </c>
      <c r="G986" s="9">
        <f t="shared" si="122"/>
        <v>0</v>
      </c>
      <c r="H986" s="9">
        <f t="shared" si="123"/>
        <v>80</v>
      </c>
      <c r="I986" s="9">
        <f t="shared" si="124"/>
        <v>79.21967386543497</v>
      </c>
      <c r="J986" s="9">
        <f t="shared" si="125"/>
        <v>52.81311591028998</v>
      </c>
      <c r="K986" s="1">
        <f t="shared" si="127"/>
        <v>212.03278977572495</v>
      </c>
      <c r="L986" s="1"/>
      <c r="M986" s="3"/>
      <c r="N986" s="3"/>
      <c r="O986" s="3"/>
      <c r="P986" s="3"/>
      <c r="Q986" s="3"/>
      <c r="R986" s="1"/>
    </row>
    <row r="987" spans="2:18" x14ac:dyDescent="0.2">
      <c r="B987">
        <v>975</v>
      </c>
      <c r="C987" s="1">
        <v>1.8871505544094536</v>
      </c>
      <c r="D987" s="1">
        <f t="shared" si="121"/>
        <v>272.45147330587213</v>
      </c>
      <c r="E987" s="18">
        <f t="shared" si="120"/>
        <v>-60.016413459277487</v>
      </c>
      <c r="F987" s="1">
        <f t="shared" si="126"/>
        <v>212.43505984659464</v>
      </c>
      <c r="G987" s="9">
        <f t="shared" si="122"/>
        <v>0</v>
      </c>
      <c r="H987" s="9">
        <f t="shared" si="123"/>
        <v>80</v>
      </c>
      <c r="I987" s="9">
        <f t="shared" si="124"/>
        <v>79.461035907956784</v>
      </c>
      <c r="J987" s="9">
        <f t="shared" si="125"/>
        <v>52.974023938637856</v>
      </c>
      <c r="K987" s="1">
        <f t="shared" si="127"/>
        <v>212.43505984659464</v>
      </c>
      <c r="L987" s="1"/>
      <c r="M987" s="3"/>
      <c r="N987" s="3"/>
      <c r="O987" s="3"/>
      <c r="P987" s="3"/>
      <c r="Q987" s="3"/>
      <c r="R987" s="1"/>
    </row>
    <row r="988" spans="2:18" x14ac:dyDescent="0.2">
      <c r="B988">
        <v>976</v>
      </c>
      <c r="C988" s="1">
        <v>1.8952914924104438</v>
      </c>
      <c r="D988" s="1">
        <f t="shared" si="121"/>
        <v>273.78553513930933</v>
      </c>
      <c r="E988" s="18">
        <f t="shared" si="120"/>
        <v>-60.016413459277487</v>
      </c>
      <c r="F988" s="1">
        <f t="shared" si="126"/>
        <v>213.76912168003184</v>
      </c>
      <c r="G988" s="9">
        <f t="shared" si="122"/>
        <v>0</v>
      </c>
      <c r="H988" s="9">
        <f t="shared" si="123"/>
        <v>80</v>
      </c>
      <c r="I988" s="9">
        <f t="shared" si="124"/>
        <v>80.261473008019109</v>
      </c>
      <c r="J988" s="9">
        <f t="shared" si="125"/>
        <v>53.507648672012742</v>
      </c>
      <c r="K988" s="1">
        <f t="shared" si="127"/>
        <v>213.76912168003184</v>
      </c>
      <c r="L988" s="1"/>
      <c r="M988" s="3"/>
      <c r="N988" s="3"/>
      <c r="O988" s="3"/>
      <c r="P988" s="3"/>
      <c r="Q988" s="3"/>
      <c r="R988" s="1"/>
    </row>
    <row r="989" spans="2:18" x14ac:dyDescent="0.2">
      <c r="B989">
        <v>977</v>
      </c>
      <c r="C989" s="1">
        <v>1.9027762645297499</v>
      </c>
      <c r="D989" s="1">
        <f t="shared" si="121"/>
        <v>275.01783351404572</v>
      </c>
      <c r="E989" s="18">
        <f t="shared" si="120"/>
        <v>-60.016413459277487</v>
      </c>
      <c r="F989" s="1">
        <f t="shared" si="126"/>
        <v>215.00142005476823</v>
      </c>
      <c r="G989" s="9">
        <f t="shared" si="122"/>
        <v>0</v>
      </c>
      <c r="H989" s="9">
        <f t="shared" si="123"/>
        <v>80</v>
      </c>
      <c r="I989" s="9">
        <f t="shared" si="124"/>
        <v>81.000852032860934</v>
      </c>
      <c r="J989" s="9">
        <f t="shared" si="125"/>
        <v>54.000568021907299</v>
      </c>
      <c r="K989" s="1">
        <f t="shared" si="127"/>
        <v>215.00142005476823</v>
      </c>
      <c r="L989" s="1"/>
      <c r="M989" s="3"/>
      <c r="N989" s="3"/>
      <c r="O989" s="3"/>
      <c r="P989" s="3"/>
      <c r="Q989" s="3"/>
      <c r="R989" s="1"/>
    </row>
    <row r="990" spans="2:18" x14ac:dyDescent="0.2">
      <c r="B990">
        <v>978</v>
      </c>
      <c r="C990" s="1">
        <v>1.9124259144963753</v>
      </c>
      <c r="D990" s="1">
        <f t="shared" si="121"/>
        <v>276.61474744805446</v>
      </c>
      <c r="E990" s="18">
        <f t="shared" si="120"/>
        <v>-60.016413459277487</v>
      </c>
      <c r="F990" s="1">
        <f t="shared" si="126"/>
        <v>216.59833398877697</v>
      </c>
      <c r="G990" s="9">
        <f t="shared" si="122"/>
        <v>0</v>
      </c>
      <c r="H990" s="9">
        <f t="shared" si="123"/>
        <v>80</v>
      </c>
      <c r="I990" s="9">
        <f t="shared" si="124"/>
        <v>81.95900039326618</v>
      </c>
      <c r="J990" s="9">
        <f t="shared" si="125"/>
        <v>54.639333595510791</v>
      </c>
      <c r="K990" s="1">
        <f t="shared" si="127"/>
        <v>216.59833398877697</v>
      </c>
      <c r="L990" s="1"/>
      <c r="M990" s="3"/>
      <c r="N990" s="3"/>
      <c r="O990" s="3"/>
      <c r="P990" s="3"/>
      <c r="Q990" s="3"/>
      <c r="R990" s="1"/>
    </row>
    <row r="991" spans="2:18" x14ac:dyDescent="0.2">
      <c r="B991">
        <v>979</v>
      </c>
      <c r="C991" s="1">
        <v>1.9893660292670794</v>
      </c>
      <c r="D991" s="1">
        <f t="shared" si="121"/>
        <v>289.68374793043279</v>
      </c>
      <c r="E991" s="18">
        <f t="shared" si="120"/>
        <v>-60.016413459277487</v>
      </c>
      <c r="F991" s="1">
        <f t="shared" si="126"/>
        <v>229.6673344711553</v>
      </c>
      <c r="G991" s="9">
        <f t="shared" si="122"/>
        <v>0</v>
      </c>
      <c r="H991" s="9">
        <f t="shared" si="123"/>
        <v>80</v>
      </c>
      <c r="I991" s="9">
        <f t="shared" si="124"/>
        <v>89.80040068269318</v>
      </c>
      <c r="J991" s="9">
        <f t="shared" si="125"/>
        <v>59.86693378846212</v>
      </c>
      <c r="K991" s="1">
        <f t="shared" si="127"/>
        <v>229.6673344711553</v>
      </c>
      <c r="L991" s="1"/>
      <c r="M991" s="3"/>
      <c r="N991" s="3"/>
      <c r="O991" s="3"/>
      <c r="P991" s="3"/>
      <c r="Q991" s="3"/>
      <c r="R991" s="1"/>
    </row>
    <row r="992" spans="2:18" x14ac:dyDescent="0.2">
      <c r="B992">
        <v>980</v>
      </c>
      <c r="C992" s="1">
        <v>1.9937755656548803</v>
      </c>
      <c r="D992" s="1">
        <f t="shared" si="121"/>
        <v>290.45118531216127</v>
      </c>
      <c r="E992" s="18">
        <f t="shared" si="120"/>
        <v>-60.016413459277487</v>
      </c>
      <c r="F992" s="1">
        <f t="shared" si="126"/>
        <v>230.43477185288378</v>
      </c>
      <c r="G992" s="9">
        <f t="shared" si="122"/>
        <v>0</v>
      </c>
      <c r="H992" s="9">
        <f t="shared" si="123"/>
        <v>80</v>
      </c>
      <c r="I992" s="9">
        <f t="shared" si="124"/>
        <v>90.260863111730274</v>
      </c>
      <c r="J992" s="9">
        <f t="shared" si="125"/>
        <v>60.173908741153518</v>
      </c>
      <c r="K992" s="1">
        <f t="shared" si="127"/>
        <v>230.43477185288378</v>
      </c>
      <c r="L992" s="1"/>
      <c r="M992" s="3"/>
      <c r="N992" s="3"/>
      <c r="O992" s="3"/>
      <c r="P992" s="3"/>
      <c r="Q992" s="3"/>
      <c r="R992" s="1"/>
    </row>
    <row r="993" spans="2:18" x14ac:dyDescent="0.2">
      <c r="B993">
        <v>981</v>
      </c>
      <c r="C993" s="1">
        <v>2.0093197581975311</v>
      </c>
      <c r="D993" s="1">
        <f t="shared" si="121"/>
        <v>293.17275445212584</v>
      </c>
      <c r="E993" s="18">
        <f t="shared" si="120"/>
        <v>-60.016413459277487</v>
      </c>
      <c r="F993" s="1">
        <f t="shared" si="126"/>
        <v>233.15634099284836</v>
      </c>
      <c r="G993" s="9">
        <f t="shared" si="122"/>
        <v>0</v>
      </c>
      <c r="H993" s="9">
        <f t="shared" si="123"/>
        <v>80</v>
      </c>
      <c r="I993" s="9">
        <f t="shared" si="124"/>
        <v>91.893804595709014</v>
      </c>
      <c r="J993" s="9">
        <f t="shared" si="125"/>
        <v>61.262536397139343</v>
      </c>
      <c r="K993" s="1">
        <f t="shared" si="127"/>
        <v>233.15634099284836</v>
      </c>
      <c r="L993" s="1"/>
      <c r="M993" s="3"/>
      <c r="N993" s="3"/>
      <c r="O993" s="3"/>
      <c r="P993" s="3"/>
      <c r="Q993" s="3"/>
      <c r="R993" s="1"/>
    </row>
    <row r="994" spans="2:18" x14ac:dyDescent="0.2">
      <c r="B994">
        <v>982</v>
      </c>
      <c r="C994" s="1">
        <v>2.0229788275792147</v>
      </c>
      <c r="D994" s="1">
        <f t="shared" si="121"/>
        <v>295.58530711241042</v>
      </c>
      <c r="E994" s="18">
        <f t="shared" si="120"/>
        <v>-60.016413459277487</v>
      </c>
      <c r="F994" s="1">
        <f t="shared" si="126"/>
        <v>235.56889365313293</v>
      </c>
      <c r="G994" s="9">
        <f t="shared" si="122"/>
        <v>0</v>
      </c>
      <c r="H994" s="9">
        <f t="shared" si="123"/>
        <v>80</v>
      </c>
      <c r="I994" s="9">
        <f t="shared" si="124"/>
        <v>93.341336191879762</v>
      </c>
      <c r="J994" s="9">
        <f t="shared" si="125"/>
        <v>62.227557461253177</v>
      </c>
      <c r="K994" s="1">
        <f t="shared" si="127"/>
        <v>235.56889365313293</v>
      </c>
      <c r="L994" s="1"/>
      <c r="M994" s="3"/>
      <c r="N994" s="3"/>
      <c r="O994" s="3"/>
      <c r="P994" s="3"/>
      <c r="Q994" s="3"/>
      <c r="R994" s="1"/>
    </row>
    <row r="995" spans="2:18" x14ac:dyDescent="0.2">
      <c r="B995">
        <v>983</v>
      </c>
      <c r="C995" s="1">
        <v>2.0242247270018461</v>
      </c>
      <c r="D995" s="1">
        <f t="shared" si="121"/>
        <v>295.80635145990613</v>
      </c>
      <c r="E995" s="18">
        <f t="shared" si="120"/>
        <v>-60.016413459277487</v>
      </c>
      <c r="F995" s="1">
        <f t="shared" si="126"/>
        <v>235.78993800062864</v>
      </c>
      <c r="G995" s="9">
        <f t="shared" si="122"/>
        <v>0</v>
      </c>
      <c r="H995" s="9">
        <f t="shared" si="123"/>
        <v>80</v>
      </c>
      <c r="I995" s="9">
        <f t="shared" si="124"/>
        <v>93.47396280037718</v>
      </c>
      <c r="J995" s="9">
        <f t="shared" si="125"/>
        <v>62.315975200251458</v>
      </c>
      <c r="K995" s="1">
        <f t="shared" si="127"/>
        <v>235.78993800062864</v>
      </c>
      <c r="L995" s="1"/>
      <c r="M995" s="3"/>
      <c r="N995" s="3"/>
      <c r="O995" s="3"/>
      <c r="P995" s="3"/>
      <c r="Q995" s="3"/>
      <c r="R995" s="1"/>
    </row>
    <row r="996" spans="2:18" x14ac:dyDescent="0.2">
      <c r="B996">
        <v>984</v>
      </c>
      <c r="C996" s="1">
        <v>2.0686027679542791</v>
      </c>
      <c r="D996" s="1">
        <f t="shared" si="121"/>
        <v>303.78853377116064</v>
      </c>
      <c r="E996" s="18">
        <f t="shared" si="120"/>
        <v>-60.016413459277487</v>
      </c>
      <c r="F996" s="1">
        <f t="shared" si="126"/>
        <v>243.77212031188316</v>
      </c>
      <c r="G996" s="9">
        <f t="shared" si="122"/>
        <v>0</v>
      </c>
      <c r="H996" s="9">
        <f t="shared" si="123"/>
        <v>80</v>
      </c>
      <c r="I996" s="9">
        <f t="shared" si="124"/>
        <v>98.263272187129886</v>
      </c>
      <c r="J996" s="9">
        <f t="shared" si="125"/>
        <v>65.508848124753271</v>
      </c>
      <c r="K996" s="1">
        <f t="shared" si="127"/>
        <v>243.77212031188316</v>
      </c>
      <c r="L996" s="1"/>
      <c r="M996" s="3"/>
      <c r="N996" s="3"/>
      <c r="O996" s="3"/>
      <c r="P996" s="3"/>
      <c r="Q996" s="3"/>
      <c r="R996" s="1"/>
    </row>
    <row r="997" spans="2:18" x14ac:dyDescent="0.2">
      <c r="B997">
        <v>985</v>
      </c>
      <c r="C997" s="1">
        <v>2.1273836617922481</v>
      </c>
      <c r="D997" s="1">
        <f t="shared" si="121"/>
        <v>314.69388826847018</v>
      </c>
      <c r="E997" s="18">
        <f t="shared" si="120"/>
        <v>-60.016413459277487</v>
      </c>
      <c r="F997" s="1">
        <f t="shared" si="126"/>
        <v>254.67747480919269</v>
      </c>
      <c r="G997" s="9">
        <f t="shared" si="122"/>
        <v>0</v>
      </c>
      <c r="H997" s="9">
        <f t="shared" si="123"/>
        <v>80</v>
      </c>
      <c r="I997" s="9">
        <f t="shared" si="124"/>
        <v>104.80648488551562</v>
      </c>
      <c r="J997" s="9">
        <f t="shared" si="125"/>
        <v>69.870989923677072</v>
      </c>
      <c r="K997" s="1">
        <f t="shared" si="127"/>
        <v>254.67747480919269</v>
      </c>
      <c r="L997" s="1"/>
      <c r="M997" s="3"/>
      <c r="N997" s="3"/>
      <c r="O997" s="3"/>
      <c r="P997" s="3"/>
      <c r="Q997" s="3"/>
      <c r="R997" s="1"/>
    </row>
    <row r="998" spans="2:18" x14ac:dyDescent="0.2">
      <c r="B998">
        <v>986</v>
      </c>
      <c r="C998" s="1">
        <v>2.1311489322062096</v>
      </c>
      <c r="D998" s="1">
        <f t="shared" si="121"/>
        <v>315.40563649528417</v>
      </c>
      <c r="E998" s="18">
        <f t="shared" si="120"/>
        <v>-60.016413459277487</v>
      </c>
      <c r="F998" s="1">
        <f t="shared" si="126"/>
        <v>255.38922303600668</v>
      </c>
      <c r="G998" s="9">
        <f t="shared" si="122"/>
        <v>0</v>
      </c>
      <c r="H998" s="9">
        <f t="shared" si="123"/>
        <v>80</v>
      </c>
      <c r="I998" s="9">
        <f t="shared" si="124"/>
        <v>105.23353382160401</v>
      </c>
      <c r="J998" s="9">
        <f t="shared" si="125"/>
        <v>70.15568921440267</v>
      </c>
      <c r="K998" s="1">
        <f t="shared" si="127"/>
        <v>255.38922303600668</v>
      </c>
      <c r="L998" s="1"/>
      <c r="M998" s="3"/>
      <c r="N998" s="3"/>
      <c r="O998" s="3"/>
      <c r="P998" s="3"/>
      <c r="Q998" s="3"/>
      <c r="R998" s="1"/>
    </row>
    <row r="999" spans="2:18" x14ac:dyDescent="0.2">
      <c r="B999">
        <v>987</v>
      </c>
      <c r="C999" s="1">
        <v>2.1570498552177271</v>
      </c>
      <c r="D999" s="1">
        <f t="shared" si="121"/>
        <v>320.34549944525901</v>
      </c>
      <c r="E999" s="18">
        <f t="shared" si="120"/>
        <v>-60.016413459277487</v>
      </c>
      <c r="F999" s="1">
        <f t="shared" si="126"/>
        <v>260.32908598598152</v>
      </c>
      <c r="G999" s="9">
        <f t="shared" si="122"/>
        <v>0</v>
      </c>
      <c r="H999" s="9">
        <f t="shared" si="123"/>
        <v>80</v>
      </c>
      <c r="I999" s="9">
        <f t="shared" si="124"/>
        <v>108.19745159158892</v>
      </c>
      <c r="J999" s="9">
        <f t="shared" si="125"/>
        <v>72.131634394392606</v>
      </c>
      <c r="K999" s="1">
        <f t="shared" si="127"/>
        <v>260.32908598598152</v>
      </c>
      <c r="L999" s="1"/>
      <c r="M999" s="3"/>
      <c r="N999" s="3"/>
      <c r="O999" s="3"/>
      <c r="P999" s="3"/>
      <c r="Q999" s="3"/>
      <c r="R999" s="1"/>
    </row>
    <row r="1000" spans="2:18" x14ac:dyDescent="0.2">
      <c r="B1000">
        <v>988</v>
      </c>
      <c r="C1000" s="1">
        <v>2.1737750741686868</v>
      </c>
      <c r="D1000" s="1">
        <f t="shared" si="121"/>
        <v>323.57639272182865</v>
      </c>
      <c r="E1000" s="18">
        <f t="shared" si="120"/>
        <v>-60.016413459277487</v>
      </c>
      <c r="F1000" s="1">
        <f t="shared" si="126"/>
        <v>263.55997926255117</v>
      </c>
      <c r="G1000" s="9">
        <f t="shared" si="122"/>
        <v>0</v>
      </c>
      <c r="H1000" s="9">
        <f t="shared" si="123"/>
        <v>80</v>
      </c>
      <c r="I1000" s="9">
        <f t="shared" si="124"/>
        <v>110.1359875575307</v>
      </c>
      <c r="J1000" s="9">
        <f t="shared" si="125"/>
        <v>73.42399170502047</v>
      </c>
      <c r="K1000" s="1">
        <f t="shared" si="127"/>
        <v>263.55997926255117</v>
      </c>
      <c r="L1000" s="1"/>
      <c r="M1000" s="3"/>
      <c r="N1000" s="3"/>
      <c r="O1000" s="3"/>
      <c r="P1000" s="3"/>
      <c r="Q1000" s="3"/>
      <c r="R1000" s="1"/>
    </row>
    <row r="1001" spans="2:18" x14ac:dyDescent="0.2">
      <c r="B1001">
        <v>989</v>
      </c>
      <c r="C1001" s="1">
        <v>2.2084703263330279</v>
      </c>
      <c r="D1001" s="1">
        <f t="shared" si="121"/>
        <v>330.38293202348285</v>
      </c>
      <c r="E1001" s="18">
        <f t="shared" si="120"/>
        <v>-60.016413459277487</v>
      </c>
      <c r="F1001" s="1">
        <f t="shared" si="126"/>
        <v>270.36651856420536</v>
      </c>
      <c r="G1001" s="9">
        <f t="shared" si="122"/>
        <v>0</v>
      </c>
      <c r="H1001" s="9">
        <f t="shared" si="123"/>
        <v>80</v>
      </c>
      <c r="I1001" s="9">
        <f t="shared" si="124"/>
        <v>114.21991113852322</v>
      </c>
      <c r="J1001" s="9">
        <f t="shared" si="125"/>
        <v>76.146607425682149</v>
      </c>
      <c r="K1001" s="1">
        <f t="shared" si="127"/>
        <v>270.36651856420536</v>
      </c>
      <c r="L1001" s="1"/>
      <c r="M1001" s="3"/>
      <c r="N1001" s="3"/>
      <c r="O1001" s="3"/>
      <c r="P1001" s="3"/>
      <c r="Q1001" s="3"/>
      <c r="R1001" s="1"/>
    </row>
    <row r="1002" spans="2:18" x14ac:dyDescent="0.2">
      <c r="B1002">
        <v>990</v>
      </c>
      <c r="C1002" s="1">
        <v>2.2790953836998153</v>
      </c>
      <c r="D1002" s="1">
        <f t="shared" si="121"/>
        <v>344.68377972521915</v>
      </c>
      <c r="E1002" s="18">
        <f t="shared" si="120"/>
        <v>-60.016413459277487</v>
      </c>
      <c r="F1002" s="1">
        <f t="shared" si="126"/>
        <v>284.66736626594167</v>
      </c>
      <c r="G1002" s="9">
        <f t="shared" si="122"/>
        <v>0</v>
      </c>
      <c r="H1002" s="9">
        <f t="shared" si="123"/>
        <v>80</v>
      </c>
      <c r="I1002" s="9">
        <f t="shared" si="124"/>
        <v>122.80041975956499</v>
      </c>
      <c r="J1002" s="9">
        <f t="shared" si="125"/>
        <v>81.866946506376678</v>
      </c>
      <c r="K1002" s="1">
        <f t="shared" si="127"/>
        <v>284.66736626594167</v>
      </c>
      <c r="L1002" s="1"/>
      <c r="M1002" s="3"/>
      <c r="N1002" s="3"/>
      <c r="O1002" s="3"/>
      <c r="P1002" s="3"/>
      <c r="Q1002" s="3"/>
      <c r="R1002" s="1"/>
    </row>
    <row r="1003" spans="2:18" x14ac:dyDescent="0.2">
      <c r="B1003">
        <v>991</v>
      </c>
      <c r="C1003" s="1">
        <v>2.3184324888611041</v>
      </c>
      <c r="D1003" s="1">
        <f t="shared" si="121"/>
        <v>352.91586272574477</v>
      </c>
      <c r="E1003" s="18">
        <f t="shared" si="120"/>
        <v>-60.016413459277487</v>
      </c>
      <c r="F1003" s="1">
        <f t="shared" si="126"/>
        <v>292.89944926646729</v>
      </c>
      <c r="G1003" s="9">
        <f t="shared" si="122"/>
        <v>0</v>
      </c>
      <c r="H1003" s="9">
        <f t="shared" si="123"/>
        <v>80</v>
      </c>
      <c r="I1003" s="9">
        <f t="shared" si="124"/>
        <v>127.73966955988037</v>
      </c>
      <c r="J1003" s="9">
        <f t="shared" si="125"/>
        <v>85.159779706586917</v>
      </c>
      <c r="K1003" s="1">
        <f t="shared" si="127"/>
        <v>292.89944926646729</v>
      </c>
      <c r="L1003" s="1"/>
      <c r="M1003" s="3"/>
      <c r="N1003" s="3"/>
      <c r="O1003" s="3"/>
      <c r="P1003" s="3"/>
      <c r="Q1003" s="3"/>
      <c r="R1003" s="1"/>
    </row>
    <row r="1004" spans="2:18" x14ac:dyDescent="0.2">
      <c r="B1004">
        <v>992</v>
      </c>
      <c r="C1004" s="1">
        <v>2.3305359068433034</v>
      </c>
      <c r="D1004" s="1">
        <f t="shared" si="121"/>
        <v>355.48808414215728</v>
      </c>
      <c r="E1004" s="18">
        <f t="shared" si="120"/>
        <v>-60.016413459277487</v>
      </c>
      <c r="F1004" s="1">
        <f t="shared" si="126"/>
        <v>295.47167068287979</v>
      </c>
      <c r="G1004" s="9">
        <f t="shared" si="122"/>
        <v>0</v>
      </c>
      <c r="H1004" s="9">
        <f t="shared" si="123"/>
        <v>80</v>
      </c>
      <c r="I1004" s="9">
        <f t="shared" si="124"/>
        <v>129.28300240972786</v>
      </c>
      <c r="J1004" s="9">
        <f t="shared" si="125"/>
        <v>86.188668273151919</v>
      </c>
      <c r="K1004" s="1">
        <f t="shared" si="127"/>
        <v>295.47167068287979</v>
      </c>
      <c r="L1004" s="1"/>
      <c r="M1004" s="3"/>
      <c r="N1004" s="3"/>
      <c r="O1004" s="3"/>
      <c r="P1004" s="3"/>
      <c r="Q1004" s="3"/>
      <c r="R1004" s="1"/>
    </row>
    <row r="1005" spans="2:18" x14ac:dyDescent="0.2">
      <c r="B1005">
        <v>993</v>
      </c>
      <c r="C1005" s="1">
        <v>2.344759709575567</v>
      </c>
      <c r="D1005" s="1">
        <f t="shared" si="121"/>
        <v>358.53490228108217</v>
      </c>
      <c r="E1005" s="18">
        <f t="shared" si="120"/>
        <v>-60.016413459277487</v>
      </c>
      <c r="F1005" s="1">
        <f t="shared" si="126"/>
        <v>298.51848882180468</v>
      </c>
      <c r="G1005" s="9">
        <f t="shared" si="122"/>
        <v>0</v>
      </c>
      <c r="H1005" s="9">
        <f t="shared" si="123"/>
        <v>80</v>
      </c>
      <c r="I1005" s="9">
        <f t="shared" si="124"/>
        <v>131.1110932930828</v>
      </c>
      <c r="J1005" s="9">
        <f t="shared" si="125"/>
        <v>87.407395528721878</v>
      </c>
      <c r="K1005" s="1">
        <f t="shared" si="127"/>
        <v>298.51848882180468</v>
      </c>
      <c r="L1005" s="1"/>
      <c r="M1005" s="3"/>
      <c r="N1005" s="3"/>
      <c r="O1005" s="3"/>
      <c r="P1005" s="3"/>
      <c r="Q1005" s="3"/>
      <c r="R1005" s="1"/>
    </row>
    <row r="1006" spans="2:18" x14ac:dyDescent="0.2">
      <c r="B1006">
        <v>994</v>
      </c>
      <c r="C1006" s="1">
        <v>2.3606151688866781</v>
      </c>
      <c r="D1006" s="1">
        <f t="shared" si="121"/>
        <v>361.96201932153326</v>
      </c>
      <c r="E1006" s="18">
        <f t="shared" si="120"/>
        <v>-60.016413459277487</v>
      </c>
      <c r="F1006" s="1">
        <f t="shared" si="126"/>
        <v>301.94560586225577</v>
      </c>
      <c r="G1006" s="9">
        <f t="shared" si="122"/>
        <v>0</v>
      </c>
      <c r="H1006" s="9">
        <f t="shared" si="123"/>
        <v>80</v>
      </c>
      <c r="I1006" s="9">
        <f t="shared" si="124"/>
        <v>133.16736351735346</v>
      </c>
      <c r="J1006" s="9">
        <f t="shared" si="125"/>
        <v>88.77824234490231</v>
      </c>
      <c r="K1006" s="1">
        <f t="shared" si="127"/>
        <v>301.94560586225577</v>
      </c>
      <c r="L1006" s="1"/>
      <c r="M1006" s="3"/>
      <c r="N1006" s="3"/>
      <c r="O1006" s="3"/>
      <c r="P1006" s="3"/>
      <c r="Q1006" s="3"/>
      <c r="R1006" s="1"/>
    </row>
    <row r="1007" spans="2:18" x14ac:dyDescent="0.2">
      <c r="B1007">
        <v>995</v>
      </c>
      <c r="C1007" s="1">
        <v>2.3856569667776668</v>
      </c>
      <c r="D1007" s="1">
        <f t="shared" si="121"/>
        <v>367.44158956252988</v>
      </c>
      <c r="E1007" s="18">
        <f t="shared" si="120"/>
        <v>-60.016413459277487</v>
      </c>
      <c r="F1007" s="1">
        <f t="shared" si="126"/>
        <v>307.4251761032524</v>
      </c>
      <c r="G1007" s="9">
        <f t="shared" si="122"/>
        <v>0</v>
      </c>
      <c r="H1007" s="9">
        <f t="shared" si="123"/>
        <v>80</v>
      </c>
      <c r="I1007" s="9">
        <f t="shared" si="124"/>
        <v>136.45510566195142</v>
      </c>
      <c r="J1007" s="9">
        <f t="shared" si="125"/>
        <v>90.970070441300962</v>
      </c>
      <c r="K1007" s="1">
        <f t="shared" si="127"/>
        <v>307.4251761032524</v>
      </c>
      <c r="L1007" s="1"/>
      <c r="M1007" s="3"/>
      <c r="N1007" s="3"/>
      <c r="O1007" s="3"/>
      <c r="P1007" s="3"/>
      <c r="Q1007" s="3"/>
      <c r="R1007" s="1"/>
    </row>
    <row r="1008" spans="2:18" x14ac:dyDescent="0.2">
      <c r="B1008">
        <v>996</v>
      </c>
      <c r="C1008" s="1">
        <v>2.5116622827992154</v>
      </c>
      <c r="D1008" s="1">
        <f t="shared" si="121"/>
        <v>396.29843678633193</v>
      </c>
      <c r="E1008" s="18">
        <f t="shared" si="120"/>
        <v>-60.016413459277487</v>
      </c>
      <c r="F1008" s="1">
        <f t="shared" si="126"/>
        <v>336.28202332705445</v>
      </c>
      <c r="G1008" s="9">
        <f t="shared" si="122"/>
        <v>0</v>
      </c>
      <c r="H1008" s="9">
        <f t="shared" si="123"/>
        <v>80</v>
      </c>
      <c r="I1008" s="9">
        <f t="shared" si="124"/>
        <v>153.76921399623265</v>
      </c>
      <c r="J1008" s="9">
        <f t="shared" si="125"/>
        <v>102.51280933082178</v>
      </c>
      <c r="K1008" s="1">
        <f t="shared" si="127"/>
        <v>336.28202332705445</v>
      </c>
      <c r="L1008" s="1"/>
      <c r="M1008" s="3"/>
      <c r="N1008" s="3"/>
      <c r="O1008" s="3"/>
      <c r="P1008" s="3"/>
      <c r="Q1008" s="3"/>
      <c r="R1008" s="1"/>
    </row>
    <row r="1009" spans="2:18" x14ac:dyDescent="0.2">
      <c r="B1009">
        <v>997</v>
      </c>
      <c r="C1009" s="1">
        <v>2.732726113194619</v>
      </c>
      <c r="D1009" s="1">
        <f t="shared" si="121"/>
        <v>452.50818614515572</v>
      </c>
      <c r="E1009" s="18">
        <f t="shared" si="120"/>
        <v>-60.016413459277487</v>
      </c>
      <c r="F1009" s="1">
        <f t="shared" si="126"/>
        <v>392.49177268587823</v>
      </c>
      <c r="G1009" s="9">
        <f t="shared" si="122"/>
        <v>0</v>
      </c>
      <c r="H1009" s="9">
        <f t="shared" si="123"/>
        <v>80</v>
      </c>
      <c r="I1009" s="9">
        <f t="shared" si="124"/>
        <v>187.49506361152694</v>
      </c>
      <c r="J1009" s="9">
        <f t="shared" si="125"/>
        <v>124.9967090743513</v>
      </c>
      <c r="K1009" s="1">
        <f t="shared" si="127"/>
        <v>392.49177268587823</v>
      </c>
      <c r="L1009" s="1"/>
      <c r="M1009" s="3"/>
      <c r="N1009" s="3"/>
      <c r="O1009" s="3"/>
      <c r="P1009" s="3"/>
      <c r="Q1009" s="3"/>
      <c r="R1009" s="1"/>
    </row>
    <row r="1010" spans="2:18" x14ac:dyDescent="0.2">
      <c r="B1010">
        <v>998</v>
      </c>
      <c r="C1010" s="1">
        <v>2.7654041359401837</v>
      </c>
      <c r="D1010" s="1">
        <f t="shared" si="121"/>
        <v>461.46797929160311</v>
      </c>
      <c r="E1010" s="18">
        <f t="shared" si="120"/>
        <v>-60.016413459277487</v>
      </c>
      <c r="F1010" s="1">
        <f t="shared" si="126"/>
        <v>401.45156583232563</v>
      </c>
      <c r="G1010" s="9">
        <f t="shared" si="122"/>
        <v>0</v>
      </c>
      <c r="H1010" s="9">
        <f t="shared" si="123"/>
        <v>80</v>
      </c>
      <c r="I1010" s="9">
        <f t="shared" si="124"/>
        <v>192.87093949939538</v>
      </c>
      <c r="J1010" s="9">
        <f t="shared" si="125"/>
        <v>128.58062633293025</v>
      </c>
      <c r="K1010" s="1">
        <f t="shared" si="127"/>
        <v>401.45156583232563</v>
      </c>
      <c r="L1010" s="1"/>
      <c r="M1010" s="3"/>
      <c r="N1010" s="3"/>
      <c r="O1010" s="3"/>
      <c r="P1010" s="3"/>
      <c r="Q1010" s="3"/>
      <c r="R1010" s="1"/>
    </row>
    <row r="1011" spans="2:18" x14ac:dyDescent="0.2">
      <c r="B1011">
        <v>999</v>
      </c>
      <c r="C1011" s="1">
        <v>3.0907357750160283</v>
      </c>
      <c r="D1011" s="1">
        <f t="shared" si="121"/>
        <v>560.93871155956231</v>
      </c>
      <c r="E1011" s="18">
        <f t="shared" si="120"/>
        <v>-60.016413459277487</v>
      </c>
      <c r="F1011" s="1">
        <f t="shared" si="126"/>
        <v>500.92229810028482</v>
      </c>
      <c r="G1011" s="9">
        <f t="shared" si="122"/>
        <v>0</v>
      </c>
      <c r="H1011" s="9">
        <f t="shared" si="123"/>
        <v>80</v>
      </c>
      <c r="I1011" s="9">
        <f t="shared" si="124"/>
        <v>252.55337886017088</v>
      </c>
      <c r="J1011" s="9">
        <f t="shared" si="125"/>
        <v>168.36891924011394</v>
      </c>
      <c r="K1011" s="1">
        <f t="shared" si="127"/>
        <v>500.92229810028482</v>
      </c>
      <c r="L1011" s="1"/>
      <c r="M1011" s="3"/>
      <c r="N1011" s="3"/>
      <c r="O1011" s="3"/>
      <c r="P1011" s="3"/>
      <c r="Q1011" s="3"/>
      <c r="R1011" s="1"/>
    </row>
    <row r="1012" spans="2:18" x14ac:dyDescent="0.2">
      <c r="B1012">
        <v>1000</v>
      </c>
      <c r="C1012" s="1">
        <v>3.250965003516626</v>
      </c>
      <c r="D1012" s="1">
        <f t="shared" si="121"/>
        <v>617.54330036857414</v>
      </c>
      <c r="E1012" s="18">
        <f t="shared" si="120"/>
        <v>-60.016413459277487</v>
      </c>
      <c r="F1012" s="1">
        <f t="shared" si="126"/>
        <v>557.52688690929665</v>
      </c>
      <c r="G1012" s="9">
        <f t="shared" si="122"/>
        <v>0</v>
      </c>
      <c r="H1012" s="9">
        <f t="shared" si="123"/>
        <v>80</v>
      </c>
      <c r="I1012" s="9">
        <f t="shared" si="124"/>
        <v>286.51613214557796</v>
      </c>
      <c r="J1012" s="9">
        <f t="shared" si="125"/>
        <v>191.01075476371867</v>
      </c>
      <c r="K1012" s="1">
        <f t="shared" si="127"/>
        <v>557.52688690929665</v>
      </c>
      <c r="L1012" s="1"/>
      <c r="M1012" s="3"/>
      <c r="N1012" s="3"/>
      <c r="O1012" s="3"/>
      <c r="P1012" s="3"/>
      <c r="Q1012" s="3"/>
      <c r="R1012" s="1"/>
    </row>
    <row r="1013" spans="2:18" x14ac:dyDescent="0.2">
      <c r="M1013" s="3"/>
      <c r="N1013" s="3"/>
      <c r="O1013" s="3"/>
      <c r="P1013" s="3"/>
      <c r="Q1013" s="3"/>
    </row>
    <row r="1014" spans="2:18" x14ac:dyDescent="0.2">
      <c r="M1014" s="3"/>
      <c r="N1014" s="3"/>
      <c r="O1014" s="3"/>
      <c r="P1014" s="3"/>
      <c r="Q1014" s="3"/>
    </row>
    <row r="1015" spans="2:18" x14ac:dyDescent="0.2">
      <c r="M1015" s="3"/>
      <c r="N1015" s="3"/>
      <c r="O1015" s="3"/>
      <c r="P1015" s="3"/>
      <c r="Q1015" s="3"/>
    </row>
    <row r="1016" spans="2:18" x14ac:dyDescent="0.2">
      <c r="M1016" s="3"/>
      <c r="N1016" s="3"/>
      <c r="O1016" s="3"/>
      <c r="P1016" s="3"/>
      <c r="Q1016" s="3"/>
    </row>
    <row r="1017" spans="2:18" x14ac:dyDescent="0.2">
      <c r="M1017" s="3"/>
      <c r="N1017" s="3"/>
      <c r="O1017" s="3"/>
      <c r="P1017" s="3"/>
      <c r="Q1017" s="3"/>
    </row>
    <row r="1018" spans="2:18" x14ac:dyDescent="0.2">
      <c r="M1018" s="3"/>
      <c r="N1018" s="3"/>
      <c r="O1018" s="3"/>
      <c r="P1018" s="3"/>
      <c r="Q1018" s="3"/>
    </row>
    <row r="1019" spans="2:18" x14ac:dyDescent="0.2">
      <c r="M1019" s="3"/>
      <c r="N1019" s="3"/>
      <c r="O1019" s="3"/>
      <c r="P1019" s="3"/>
      <c r="Q1019" s="3"/>
    </row>
    <row r="1020" spans="2:18" x14ac:dyDescent="0.2">
      <c r="M1020" s="3"/>
      <c r="N1020" s="3"/>
      <c r="O1020" s="3"/>
      <c r="P1020" s="3"/>
      <c r="Q1020" s="3"/>
    </row>
    <row r="1021" spans="2:18" x14ac:dyDescent="0.2">
      <c r="M1021" s="3"/>
      <c r="N1021" s="3"/>
      <c r="O1021" s="3"/>
      <c r="P1021" s="3"/>
      <c r="Q1021" s="3"/>
    </row>
    <row r="1022" spans="2:18" x14ac:dyDescent="0.2">
      <c r="M1022" s="3"/>
      <c r="N1022" s="3"/>
      <c r="O1022" s="3"/>
      <c r="P1022" s="3"/>
      <c r="Q1022" s="3"/>
    </row>
    <row r="1023" spans="2:18" x14ac:dyDescent="0.2">
      <c r="M1023" s="3"/>
      <c r="N1023" s="3"/>
      <c r="O1023" s="3"/>
      <c r="P1023" s="3"/>
      <c r="Q1023" s="3"/>
    </row>
    <row r="1024" spans="2:18" x14ac:dyDescent="0.2">
      <c r="M1024" s="3"/>
      <c r="N1024" s="3"/>
      <c r="O1024" s="3"/>
      <c r="P1024" s="3"/>
      <c r="Q1024" s="3"/>
    </row>
    <row r="1025" spans="13:17" x14ac:dyDescent="0.2">
      <c r="M1025" s="3"/>
      <c r="N1025" s="3"/>
      <c r="O1025" s="3"/>
      <c r="P1025" s="3"/>
      <c r="Q1025" s="3"/>
    </row>
    <row r="1026" spans="13:17" x14ac:dyDescent="0.2">
      <c r="M1026" s="3"/>
      <c r="N1026" s="3"/>
      <c r="O1026" s="3"/>
      <c r="P1026" s="3"/>
      <c r="Q1026" s="3"/>
    </row>
    <row r="1027" spans="13:17" x14ac:dyDescent="0.2">
      <c r="M1027" s="3"/>
      <c r="N1027" s="3"/>
      <c r="O1027" s="3"/>
      <c r="P1027" s="3"/>
      <c r="Q1027" s="3"/>
    </row>
    <row r="1028" spans="13:17" x14ac:dyDescent="0.2">
      <c r="M1028" s="3"/>
      <c r="N1028" s="3"/>
      <c r="O1028" s="3"/>
      <c r="P1028" s="3"/>
      <c r="Q1028" s="3"/>
    </row>
    <row r="1029" spans="13:17" x14ac:dyDescent="0.2">
      <c r="M1029" s="3"/>
      <c r="N1029" s="3"/>
      <c r="O1029" s="3"/>
      <c r="P1029" s="3"/>
      <c r="Q1029" s="3"/>
    </row>
    <row r="1030" spans="13:17" x14ac:dyDescent="0.2">
      <c r="M1030" s="3"/>
      <c r="N1030" s="3"/>
      <c r="O1030" s="3"/>
      <c r="P1030" s="3"/>
      <c r="Q1030" s="3"/>
    </row>
    <row r="1031" spans="13:17" x14ac:dyDescent="0.2">
      <c r="M1031" s="3"/>
      <c r="N1031" s="3"/>
      <c r="O1031" s="3"/>
      <c r="P1031" s="3"/>
      <c r="Q1031" s="3"/>
    </row>
    <row r="1032" spans="13:17" x14ac:dyDescent="0.2">
      <c r="M1032" s="3"/>
      <c r="N1032" s="3"/>
      <c r="O1032" s="3"/>
      <c r="P1032" s="3"/>
      <c r="Q1032" s="3"/>
    </row>
    <row r="1033" spans="13:17" x14ac:dyDescent="0.2">
      <c r="M1033" s="3"/>
      <c r="N1033" s="3"/>
      <c r="O1033" s="3"/>
      <c r="P1033" s="3"/>
      <c r="Q1033" s="3"/>
    </row>
    <row r="1034" spans="13:17" x14ac:dyDescent="0.2">
      <c r="M1034" s="3"/>
      <c r="N1034" s="3"/>
      <c r="O1034" s="3"/>
      <c r="P1034" s="3"/>
      <c r="Q1034" s="3"/>
    </row>
    <row r="1035" spans="13:17" x14ac:dyDescent="0.2">
      <c r="M1035" s="3"/>
      <c r="N1035" s="3"/>
      <c r="O1035" s="3"/>
      <c r="P1035" s="3"/>
      <c r="Q1035" s="3"/>
    </row>
    <row r="1036" spans="13:17" x14ac:dyDescent="0.2">
      <c r="M1036" s="3"/>
      <c r="N1036" s="3"/>
      <c r="O1036" s="3"/>
      <c r="P1036" s="3"/>
      <c r="Q1036" s="3"/>
    </row>
    <row r="1037" spans="13:17" x14ac:dyDescent="0.2">
      <c r="M1037" s="3"/>
      <c r="N1037" s="3"/>
      <c r="O1037" s="3"/>
      <c r="P1037" s="3"/>
      <c r="Q1037" s="3"/>
    </row>
    <row r="1038" spans="13:17" x14ac:dyDescent="0.2">
      <c r="M1038" s="3"/>
      <c r="N1038" s="3"/>
      <c r="O1038" s="3"/>
      <c r="P1038" s="3"/>
      <c r="Q1038" s="3"/>
    </row>
    <row r="1039" spans="13:17" x14ac:dyDescent="0.2">
      <c r="M1039" s="3"/>
      <c r="N1039" s="3"/>
      <c r="O1039" s="3"/>
      <c r="P1039" s="3"/>
      <c r="Q1039" s="3"/>
    </row>
    <row r="1040" spans="13:17" x14ac:dyDescent="0.2">
      <c r="M1040" s="3"/>
      <c r="N1040" s="3"/>
      <c r="O1040" s="3"/>
      <c r="P1040" s="3"/>
      <c r="Q1040" s="3"/>
    </row>
    <row r="1041" spans="13:17" x14ac:dyDescent="0.2">
      <c r="M1041" s="3"/>
      <c r="N1041" s="3"/>
      <c r="O1041" s="3"/>
      <c r="P1041" s="3"/>
      <c r="Q1041" s="3"/>
    </row>
    <row r="1042" spans="13:17" x14ac:dyDescent="0.2">
      <c r="M1042" s="3"/>
      <c r="N1042" s="3"/>
      <c r="O1042" s="3"/>
      <c r="P1042" s="3"/>
      <c r="Q1042" s="3"/>
    </row>
    <row r="1043" spans="13:17" x14ac:dyDescent="0.2">
      <c r="M1043" s="3"/>
      <c r="N1043" s="3"/>
      <c r="O1043" s="3"/>
      <c r="P1043" s="3"/>
      <c r="Q1043" s="3"/>
    </row>
    <row r="1044" spans="13:17" x14ac:dyDescent="0.2">
      <c r="M1044" s="3"/>
      <c r="N1044" s="3"/>
      <c r="O1044" s="3"/>
      <c r="P1044" s="3"/>
      <c r="Q1044" s="3"/>
    </row>
    <row r="1045" spans="13:17" x14ac:dyDescent="0.2">
      <c r="M1045" s="3"/>
      <c r="N1045" s="3"/>
      <c r="O1045" s="3"/>
      <c r="P1045" s="3"/>
      <c r="Q1045" s="3"/>
    </row>
    <row r="1046" spans="13:17" x14ac:dyDescent="0.2">
      <c r="M1046" s="3"/>
      <c r="N1046" s="3"/>
      <c r="O1046" s="3"/>
      <c r="P1046" s="3"/>
      <c r="Q1046" s="3"/>
    </row>
    <row r="1047" spans="13:17" x14ac:dyDescent="0.2">
      <c r="M1047" s="3"/>
      <c r="N1047" s="3"/>
      <c r="O1047" s="3"/>
      <c r="P1047" s="3"/>
      <c r="Q1047" s="3"/>
    </row>
    <row r="1048" spans="13:17" x14ac:dyDescent="0.2">
      <c r="M1048" s="3"/>
      <c r="N1048" s="3"/>
      <c r="O1048" s="3"/>
      <c r="P1048" s="3"/>
      <c r="Q1048" s="3"/>
    </row>
    <row r="1049" spans="13:17" x14ac:dyDescent="0.2">
      <c r="M1049" s="3"/>
      <c r="N1049" s="3"/>
      <c r="O1049" s="3"/>
      <c r="P1049" s="3"/>
      <c r="Q1049" s="3"/>
    </row>
    <row r="1050" spans="13:17" x14ac:dyDescent="0.2">
      <c r="M1050" s="3"/>
      <c r="N1050" s="3"/>
      <c r="O1050" s="3"/>
      <c r="P1050" s="3"/>
      <c r="Q1050" s="3"/>
    </row>
    <row r="1051" spans="13:17" x14ac:dyDescent="0.2">
      <c r="M1051" s="3"/>
      <c r="N1051" s="3"/>
      <c r="O1051" s="3"/>
      <c r="P1051" s="3"/>
      <c r="Q1051" s="3"/>
    </row>
    <row r="1052" spans="13:17" x14ac:dyDescent="0.2">
      <c r="M1052" s="3"/>
      <c r="N1052" s="3"/>
      <c r="O1052" s="3"/>
      <c r="P1052" s="3"/>
      <c r="Q1052" s="3"/>
    </row>
    <row r="1053" spans="13:17" x14ac:dyDescent="0.2">
      <c r="M1053" s="3"/>
      <c r="N1053" s="3"/>
      <c r="O1053" s="3"/>
      <c r="P1053" s="3"/>
      <c r="Q1053" s="3"/>
    </row>
    <row r="1054" spans="13:17" x14ac:dyDescent="0.2">
      <c r="M1054" s="3"/>
      <c r="N1054" s="3"/>
      <c r="O1054" s="3"/>
      <c r="P1054" s="3"/>
      <c r="Q1054" s="3"/>
    </row>
    <row r="1055" spans="13:17" x14ac:dyDescent="0.2">
      <c r="M1055" s="3"/>
      <c r="N1055" s="3"/>
      <c r="O1055" s="3"/>
      <c r="P1055" s="3"/>
      <c r="Q1055" s="3"/>
    </row>
    <row r="1056" spans="13:17" x14ac:dyDescent="0.2">
      <c r="M1056" s="3"/>
      <c r="N1056" s="3"/>
      <c r="O1056" s="3"/>
      <c r="P1056" s="3"/>
      <c r="Q1056" s="3"/>
    </row>
    <row r="1057" spans="13:17" x14ac:dyDescent="0.2">
      <c r="M1057" s="3"/>
      <c r="N1057" s="3"/>
      <c r="O1057" s="3"/>
      <c r="P1057" s="3"/>
      <c r="Q1057" s="3"/>
    </row>
    <row r="1058" spans="13:17" x14ac:dyDescent="0.2">
      <c r="M1058" s="3"/>
      <c r="N1058" s="3"/>
      <c r="O1058" s="3"/>
      <c r="P1058" s="3"/>
      <c r="Q1058" s="3"/>
    </row>
    <row r="1059" spans="13:17" x14ac:dyDescent="0.2">
      <c r="M1059" s="3"/>
      <c r="N1059" s="3"/>
      <c r="O1059" s="3"/>
      <c r="P1059" s="3"/>
      <c r="Q1059" s="3"/>
    </row>
    <row r="1060" spans="13:17" x14ac:dyDescent="0.2">
      <c r="M1060" s="3"/>
      <c r="N1060" s="3"/>
      <c r="O1060" s="3"/>
      <c r="P1060" s="3"/>
      <c r="Q1060" s="3"/>
    </row>
    <row r="1061" spans="13:17" x14ac:dyDescent="0.2">
      <c r="M1061" s="3"/>
      <c r="N1061" s="3"/>
      <c r="O1061" s="3"/>
      <c r="P1061" s="3"/>
      <c r="Q1061" s="3"/>
    </row>
    <row r="1062" spans="13:17" x14ac:dyDescent="0.2">
      <c r="M1062" s="3"/>
      <c r="N1062" s="3"/>
      <c r="O1062" s="3"/>
      <c r="P1062" s="3"/>
      <c r="Q1062" s="3"/>
    </row>
    <row r="1063" spans="13:17" x14ac:dyDescent="0.2">
      <c r="M1063" s="3"/>
      <c r="N1063" s="3"/>
      <c r="O1063" s="3"/>
      <c r="P1063" s="3"/>
      <c r="Q1063" s="3"/>
    </row>
    <row r="1064" spans="13:17" x14ac:dyDescent="0.2">
      <c r="M1064" s="3"/>
      <c r="N1064" s="3"/>
      <c r="O1064" s="3"/>
      <c r="P1064" s="3"/>
      <c r="Q1064" s="3"/>
    </row>
    <row r="1065" spans="13:17" x14ac:dyDescent="0.2">
      <c r="M1065" s="3"/>
      <c r="N1065" s="3"/>
      <c r="O1065" s="3"/>
      <c r="P1065" s="3"/>
      <c r="Q1065" s="3"/>
    </row>
    <row r="1066" spans="13:17" x14ac:dyDescent="0.2">
      <c r="M1066" s="3"/>
      <c r="N1066" s="3"/>
      <c r="O1066" s="3"/>
      <c r="P1066" s="3"/>
      <c r="Q1066" s="3"/>
    </row>
    <row r="1067" spans="13:17" x14ac:dyDescent="0.2">
      <c r="M1067" s="3"/>
      <c r="N1067" s="3"/>
      <c r="O1067" s="3"/>
      <c r="P1067" s="3"/>
      <c r="Q1067" s="3"/>
    </row>
    <row r="1068" spans="13:17" x14ac:dyDescent="0.2">
      <c r="M1068" s="3"/>
      <c r="N1068" s="3"/>
      <c r="O1068" s="3"/>
      <c r="P1068" s="3"/>
      <c r="Q1068" s="3"/>
    </row>
    <row r="1069" spans="13:17" x14ac:dyDescent="0.2">
      <c r="M1069" s="3"/>
      <c r="N1069" s="3"/>
      <c r="O1069" s="3"/>
      <c r="P1069" s="3"/>
      <c r="Q1069" s="3"/>
    </row>
    <row r="1070" spans="13:17" x14ac:dyDescent="0.2">
      <c r="M1070" s="3"/>
      <c r="N1070" s="3"/>
      <c r="O1070" s="3"/>
      <c r="P1070" s="3"/>
      <c r="Q1070" s="3"/>
    </row>
    <row r="1071" spans="13:17" x14ac:dyDescent="0.2">
      <c r="M1071" s="3"/>
      <c r="N1071" s="3"/>
      <c r="O1071" s="3"/>
      <c r="P1071" s="3"/>
      <c r="Q1071" s="3"/>
    </row>
    <row r="1072" spans="13:17" x14ac:dyDescent="0.2">
      <c r="M1072" s="3"/>
      <c r="N1072" s="3"/>
      <c r="O1072" s="3"/>
      <c r="P1072" s="3"/>
      <c r="Q1072" s="3"/>
    </row>
    <row r="1073" spans="13:17" x14ac:dyDescent="0.2">
      <c r="M1073" s="3"/>
      <c r="N1073" s="3"/>
      <c r="O1073" s="3"/>
      <c r="P1073" s="3"/>
      <c r="Q1073" s="3"/>
    </row>
    <row r="1074" spans="13:17" x14ac:dyDescent="0.2">
      <c r="M1074" s="3"/>
      <c r="N1074" s="3"/>
      <c r="O1074" s="3"/>
      <c r="P1074" s="3"/>
      <c r="Q1074" s="3"/>
    </row>
    <row r="1075" spans="13:17" x14ac:dyDescent="0.2">
      <c r="M1075" s="3"/>
      <c r="N1075" s="3"/>
      <c r="O1075" s="3"/>
      <c r="P1075" s="3"/>
      <c r="Q1075" s="3"/>
    </row>
    <row r="1076" spans="13:17" x14ac:dyDescent="0.2">
      <c r="M1076" s="3"/>
      <c r="N1076" s="3"/>
      <c r="O1076" s="3"/>
      <c r="P1076" s="3"/>
      <c r="Q1076" s="3"/>
    </row>
    <row r="1077" spans="13:17" x14ac:dyDescent="0.2">
      <c r="M1077" s="3"/>
      <c r="N1077" s="3"/>
      <c r="O1077" s="3"/>
      <c r="P1077" s="3"/>
      <c r="Q1077" s="3"/>
    </row>
    <row r="1078" spans="13:17" x14ac:dyDescent="0.2">
      <c r="M1078" s="3"/>
      <c r="N1078" s="3"/>
      <c r="O1078" s="3"/>
      <c r="P1078" s="3"/>
      <c r="Q1078" s="3"/>
    </row>
    <row r="1079" spans="13:17" x14ac:dyDescent="0.2">
      <c r="M1079" s="3"/>
      <c r="N1079" s="3"/>
      <c r="O1079" s="3"/>
      <c r="P1079" s="3"/>
      <c r="Q1079" s="3"/>
    </row>
    <row r="1080" spans="13:17" x14ac:dyDescent="0.2">
      <c r="M1080" s="3"/>
      <c r="N1080" s="3"/>
      <c r="O1080" s="3"/>
      <c r="P1080" s="3"/>
      <c r="Q1080" s="3"/>
    </row>
    <row r="1081" spans="13:17" x14ac:dyDescent="0.2">
      <c r="M1081" s="3"/>
      <c r="N1081" s="3"/>
      <c r="O1081" s="3"/>
      <c r="P1081" s="3"/>
      <c r="Q1081" s="3"/>
    </row>
    <row r="1082" spans="13:17" x14ac:dyDescent="0.2">
      <c r="M1082" s="3"/>
      <c r="N1082" s="3"/>
      <c r="O1082" s="3"/>
      <c r="P1082" s="3"/>
      <c r="Q1082" s="3"/>
    </row>
    <row r="1083" spans="13:17" x14ac:dyDescent="0.2">
      <c r="M1083" s="3"/>
      <c r="N1083" s="3"/>
      <c r="O1083" s="3"/>
      <c r="P1083" s="3"/>
      <c r="Q1083" s="3"/>
    </row>
    <row r="1084" spans="13:17" x14ac:dyDescent="0.2">
      <c r="M1084" s="3"/>
      <c r="N1084" s="3"/>
      <c r="O1084" s="3"/>
      <c r="P1084" s="3"/>
      <c r="Q1084" s="3"/>
    </row>
    <row r="1085" spans="13:17" x14ac:dyDescent="0.2">
      <c r="M1085" s="3"/>
      <c r="N1085" s="3"/>
      <c r="O1085" s="3"/>
      <c r="P1085" s="3"/>
      <c r="Q1085" s="3"/>
    </row>
    <row r="1086" spans="13:17" x14ac:dyDescent="0.2">
      <c r="M1086" s="3"/>
      <c r="N1086" s="3"/>
      <c r="O1086" s="3"/>
      <c r="P1086" s="3"/>
      <c r="Q1086" s="3"/>
    </row>
    <row r="1087" spans="13:17" x14ac:dyDescent="0.2">
      <c r="M1087" s="3"/>
      <c r="N1087" s="3"/>
      <c r="O1087" s="3"/>
      <c r="P1087" s="3"/>
      <c r="Q1087" s="3"/>
    </row>
    <row r="1088" spans="13:17" x14ac:dyDescent="0.2">
      <c r="M1088" s="3"/>
      <c r="N1088" s="3"/>
      <c r="O1088" s="3"/>
      <c r="P1088" s="3"/>
      <c r="Q1088" s="3"/>
    </row>
    <row r="1089" spans="13:17" x14ac:dyDescent="0.2">
      <c r="M1089" s="3"/>
      <c r="N1089" s="3"/>
      <c r="O1089" s="3"/>
      <c r="P1089" s="3"/>
      <c r="Q1089" s="3"/>
    </row>
    <row r="1090" spans="13:17" x14ac:dyDescent="0.2">
      <c r="M1090" s="3"/>
      <c r="N1090" s="3"/>
      <c r="O1090" s="3"/>
      <c r="P1090" s="3"/>
      <c r="Q1090" s="3"/>
    </row>
    <row r="1091" spans="13:17" x14ac:dyDescent="0.2">
      <c r="M1091" s="3"/>
      <c r="N1091" s="3"/>
      <c r="O1091" s="3"/>
      <c r="P1091" s="3"/>
      <c r="Q1091" s="3"/>
    </row>
    <row r="1092" spans="13:17" x14ac:dyDescent="0.2">
      <c r="M1092" s="3"/>
      <c r="N1092" s="3"/>
      <c r="O1092" s="3"/>
      <c r="P1092" s="3"/>
      <c r="Q1092" s="3"/>
    </row>
    <row r="1093" spans="13:17" x14ac:dyDescent="0.2">
      <c r="M1093" s="3"/>
      <c r="N1093" s="3"/>
      <c r="O1093" s="3"/>
      <c r="P1093" s="3"/>
      <c r="Q1093" s="3"/>
    </row>
    <row r="1094" spans="13:17" x14ac:dyDescent="0.2">
      <c r="M1094" s="3"/>
      <c r="N1094" s="3"/>
      <c r="O1094" s="3"/>
      <c r="P1094" s="3"/>
      <c r="Q1094" s="3"/>
    </row>
    <row r="1095" spans="13:17" x14ac:dyDescent="0.2">
      <c r="M1095" s="3"/>
      <c r="N1095" s="3"/>
      <c r="O1095" s="3"/>
      <c r="P1095" s="3"/>
      <c r="Q1095" s="3"/>
    </row>
    <row r="1096" spans="13:17" x14ac:dyDescent="0.2">
      <c r="M1096" s="3"/>
      <c r="N1096" s="3"/>
      <c r="O1096" s="3"/>
      <c r="P1096" s="3"/>
      <c r="Q1096" s="3"/>
    </row>
    <row r="1097" spans="13:17" x14ac:dyDescent="0.2">
      <c r="M1097" s="3"/>
      <c r="N1097" s="3"/>
      <c r="O1097" s="3"/>
      <c r="P1097" s="3"/>
      <c r="Q1097" s="3"/>
    </row>
    <row r="1098" spans="13:17" x14ac:dyDescent="0.2">
      <c r="M1098" s="3"/>
      <c r="N1098" s="3"/>
      <c r="O1098" s="3"/>
      <c r="P1098" s="3"/>
      <c r="Q1098" s="3"/>
    </row>
    <row r="1099" spans="13:17" x14ac:dyDescent="0.2">
      <c r="M1099" s="3"/>
      <c r="N1099" s="3"/>
      <c r="O1099" s="3"/>
      <c r="P1099" s="3"/>
      <c r="Q1099" s="3"/>
    </row>
    <row r="1100" spans="13:17" x14ac:dyDescent="0.2">
      <c r="M1100" s="3"/>
      <c r="N1100" s="3"/>
      <c r="O1100" s="3"/>
      <c r="P1100" s="3"/>
      <c r="Q1100" s="3"/>
    </row>
    <row r="1101" spans="13:17" x14ac:dyDescent="0.2">
      <c r="M1101" s="3"/>
      <c r="N1101" s="3"/>
      <c r="O1101" s="3"/>
      <c r="P1101" s="3"/>
      <c r="Q1101" s="3"/>
    </row>
    <row r="1102" spans="13:17" x14ac:dyDescent="0.2">
      <c r="M1102" s="3"/>
      <c r="N1102" s="3"/>
      <c r="O1102" s="3"/>
      <c r="P1102" s="3"/>
      <c r="Q1102" s="3"/>
    </row>
    <row r="1103" spans="13:17" x14ac:dyDescent="0.2">
      <c r="M1103" s="3"/>
      <c r="N1103" s="3"/>
      <c r="O1103" s="3"/>
      <c r="P1103" s="3"/>
      <c r="Q1103" s="3"/>
    </row>
    <row r="1104" spans="13:17" x14ac:dyDescent="0.2">
      <c r="M1104" s="3"/>
      <c r="N1104" s="3"/>
      <c r="O1104" s="3"/>
      <c r="P1104" s="3"/>
      <c r="Q1104" s="3"/>
    </row>
    <row r="1105" spans="13:17" x14ac:dyDescent="0.2">
      <c r="M1105" s="3"/>
      <c r="N1105" s="3"/>
      <c r="O1105" s="3"/>
      <c r="P1105" s="3"/>
      <c r="Q1105" s="3"/>
    </row>
    <row r="1106" spans="13:17" x14ac:dyDescent="0.2">
      <c r="M1106" s="3"/>
      <c r="N1106" s="3"/>
      <c r="O1106" s="3"/>
      <c r="P1106" s="3"/>
      <c r="Q1106" s="3"/>
    </row>
    <row r="1107" spans="13:17" x14ac:dyDescent="0.2">
      <c r="M1107" s="3"/>
      <c r="N1107" s="3"/>
      <c r="O1107" s="3"/>
      <c r="P1107" s="3"/>
      <c r="Q1107" s="3"/>
    </row>
    <row r="1108" spans="13:17" x14ac:dyDescent="0.2">
      <c r="M1108" s="3"/>
      <c r="N1108" s="3"/>
      <c r="O1108" s="3"/>
      <c r="P1108" s="3"/>
      <c r="Q1108" s="3"/>
    </row>
    <row r="1109" spans="13:17" x14ac:dyDescent="0.2">
      <c r="M1109" s="3"/>
      <c r="N1109" s="3"/>
      <c r="O1109" s="3"/>
      <c r="P1109" s="3"/>
      <c r="Q1109" s="3"/>
    </row>
    <row r="1110" spans="13:17" x14ac:dyDescent="0.2">
      <c r="M1110" s="3"/>
      <c r="N1110" s="3"/>
      <c r="O1110" s="3"/>
      <c r="P1110" s="3"/>
      <c r="Q1110" s="3"/>
    </row>
    <row r="1111" spans="13:17" x14ac:dyDescent="0.2">
      <c r="M1111" s="3"/>
      <c r="N1111" s="3"/>
      <c r="O1111" s="3"/>
      <c r="P1111" s="3"/>
      <c r="Q1111" s="3"/>
    </row>
    <row r="1112" spans="13:17" x14ac:dyDescent="0.2">
      <c r="M1112" s="3"/>
      <c r="N1112" s="3"/>
      <c r="O1112" s="3"/>
      <c r="P1112" s="3"/>
      <c r="Q1112" s="3"/>
    </row>
    <row r="1113" spans="13:17" x14ac:dyDescent="0.2">
      <c r="M1113" s="3"/>
      <c r="N1113" s="3"/>
      <c r="O1113" s="3"/>
      <c r="P1113" s="3"/>
      <c r="Q1113" s="3"/>
    </row>
    <row r="1114" spans="13:17" x14ac:dyDescent="0.2">
      <c r="M1114" s="3"/>
      <c r="N1114" s="3"/>
      <c r="O1114" s="3"/>
      <c r="P1114" s="3"/>
      <c r="Q1114" s="3"/>
    </row>
    <row r="1115" spans="13:17" x14ac:dyDescent="0.2">
      <c r="M1115" s="3"/>
      <c r="N1115" s="3"/>
      <c r="O1115" s="3"/>
      <c r="P1115" s="3"/>
      <c r="Q1115" s="3"/>
    </row>
    <row r="1116" spans="13:17" x14ac:dyDescent="0.2">
      <c r="M1116" s="3"/>
      <c r="N1116" s="3"/>
      <c r="O1116" s="3"/>
      <c r="P1116" s="3"/>
      <c r="Q1116" s="3"/>
    </row>
    <row r="1117" spans="13:17" x14ac:dyDescent="0.2">
      <c r="M1117" s="3"/>
      <c r="N1117" s="3"/>
      <c r="O1117" s="3"/>
      <c r="P1117" s="3"/>
      <c r="Q1117" s="3"/>
    </row>
    <row r="1118" spans="13:17" x14ac:dyDescent="0.2">
      <c r="M1118" s="3"/>
      <c r="N1118" s="3"/>
      <c r="O1118" s="3"/>
      <c r="P1118" s="3"/>
      <c r="Q1118" s="3"/>
    </row>
    <row r="1119" spans="13:17" x14ac:dyDescent="0.2">
      <c r="M1119" s="3"/>
      <c r="N1119" s="3"/>
      <c r="O1119" s="3"/>
      <c r="P1119" s="3"/>
      <c r="Q1119" s="3"/>
    </row>
    <row r="1120" spans="13:17" x14ac:dyDescent="0.2">
      <c r="M1120" s="3"/>
      <c r="N1120" s="3"/>
      <c r="O1120" s="3"/>
      <c r="P1120" s="3"/>
      <c r="Q1120" s="3"/>
    </row>
    <row r="1121" spans="13:17" x14ac:dyDescent="0.2">
      <c r="M1121" s="3"/>
      <c r="N1121" s="3"/>
      <c r="O1121" s="3"/>
      <c r="P1121" s="3"/>
      <c r="Q1121" s="3"/>
    </row>
    <row r="1122" spans="13:17" x14ac:dyDescent="0.2">
      <c r="M1122" s="3"/>
      <c r="N1122" s="3"/>
      <c r="O1122" s="3"/>
      <c r="P1122" s="3"/>
      <c r="Q1122" s="3"/>
    </row>
    <row r="1123" spans="13:17" x14ac:dyDescent="0.2">
      <c r="M1123" s="3"/>
      <c r="N1123" s="3"/>
      <c r="O1123" s="3"/>
      <c r="P1123" s="3"/>
      <c r="Q1123" s="3"/>
    </row>
    <row r="1124" spans="13:17" x14ac:dyDescent="0.2">
      <c r="M1124" s="3"/>
      <c r="N1124" s="3"/>
      <c r="O1124" s="3"/>
      <c r="P1124" s="3"/>
      <c r="Q1124" s="3"/>
    </row>
    <row r="1125" spans="13:17" x14ac:dyDescent="0.2">
      <c r="M1125" s="3"/>
      <c r="N1125" s="3"/>
      <c r="O1125" s="3"/>
      <c r="P1125" s="3"/>
      <c r="Q1125" s="3"/>
    </row>
    <row r="1126" spans="13:17" x14ac:dyDescent="0.2">
      <c r="M1126" s="3"/>
      <c r="N1126" s="3"/>
      <c r="O1126" s="3"/>
      <c r="P1126" s="3"/>
      <c r="Q1126" s="3"/>
    </row>
    <row r="1127" spans="13:17" x14ac:dyDescent="0.2">
      <c r="M1127" s="3"/>
      <c r="N1127" s="3"/>
      <c r="O1127" s="3"/>
      <c r="P1127" s="3"/>
      <c r="Q1127" s="3"/>
    </row>
    <row r="1128" spans="13:17" x14ac:dyDescent="0.2">
      <c r="M1128" s="3"/>
      <c r="N1128" s="3"/>
      <c r="O1128" s="3"/>
      <c r="P1128" s="3"/>
      <c r="Q1128" s="3"/>
    </row>
    <row r="1129" spans="13:17" x14ac:dyDescent="0.2">
      <c r="M1129" s="3"/>
      <c r="N1129" s="3"/>
      <c r="O1129" s="3"/>
      <c r="P1129" s="3"/>
      <c r="Q1129" s="3"/>
    </row>
    <row r="1130" spans="13:17" x14ac:dyDescent="0.2">
      <c r="M1130" s="3"/>
      <c r="N1130" s="3"/>
      <c r="O1130" s="3"/>
      <c r="P1130" s="3"/>
      <c r="Q1130" s="3"/>
    </row>
    <row r="1131" spans="13:17" x14ac:dyDescent="0.2">
      <c r="M1131" s="3"/>
      <c r="N1131" s="3"/>
      <c r="O1131" s="3"/>
      <c r="P1131" s="3"/>
      <c r="Q1131" s="3"/>
    </row>
    <row r="1132" spans="13:17" x14ac:dyDescent="0.2">
      <c r="M1132" s="3"/>
      <c r="N1132" s="3"/>
      <c r="O1132" s="3"/>
      <c r="P1132" s="3"/>
      <c r="Q1132" s="3"/>
    </row>
    <row r="1133" spans="13:17" x14ac:dyDescent="0.2">
      <c r="M1133" s="3"/>
      <c r="N1133" s="3"/>
      <c r="O1133" s="3"/>
      <c r="P1133" s="3"/>
      <c r="Q1133" s="3"/>
    </row>
    <row r="1134" spans="13:17" x14ac:dyDescent="0.2">
      <c r="M1134" s="3"/>
      <c r="N1134" s="3"/>
      <c r="O1134" s="3"/>
      <c r="P1134" s="3"/>
      <c r="Q1134" s="3"/>
    </row>
    <row r="1135" spans="13:17" x14ac:dyDescent="0.2">
      <c r="M1135" s="3"/>
      <c r="N1135" s="3"/>
      <c r="O1135" s="3"/>
      <c r="P1135" s="3"/>
      <c r="Q1135" s="3"/>
    </row>
    <row r="1136" spans="13:17" x14ac:dyDescent="0.2">
      <c r="M1136" s="3"/>
      <c r="N1136" s="3"/>
      <c r="O1136" s="3"/>
      <c r="P1136" s="3"/>
      <c r="Q1136" s="3"/>
    </row>
    <row r="1137" spans="13:17" x14ac:dyDescent="0.2">
      <c r="M1137" s="3"/>
      <c r="N1137" s="3"/>
      <c r="O1137" s="3"/>
      <c r="P1137" s="3"/>
      <c r="Q1137" s="3"/>
    </row>
    <row r="1138" spans="13:17" x14ac:dyDescent="0.2">
      <c r="M1138" s="3"/>
      <c r="N1138" s="3"/>
      <c r="O1138" s="3"/>
      <c r="P1138" s="3"/>
      <c r="Q1138" s="3"/>
    </row>
    <row r="1139" spans="13:17" x14ac:dyDescent="0.2">
      <c r="M1139" s="3"/>
      <c r="N1139" s="3"/>
      <c r="O1139" s="3"/>
      <c r="P1139" s="3"/>
      <c r="Q1139" s="3"/>
    </row>
    <row r="1140" spans="13:17" x14ac:dyDescent="0.2">
      <c r="M1140" s="3"/>
      <c r="N1140" s="3"/>
      <c r="O1140" s="3"/>
      <c r="P1140" s="3"/>
      <c r="Q1140" s="3"/>
    </row>
    <row r="1141" spans="13:17" x14ac:dyDescent="0.2">
      <c r="M1141" s="3"/>
      <c r="N1141" s="3"/>
      <c r="O1141" s="3"/>
      <c r="P1141" s="3"/>
      <c r="Q1141" s="3"/>
    </row>
    <row r="1142" spans="13:17" x14ac:dyDescent="0.2">
      <c r="M1142" s="3"/>
      <c r="N1142" s="3"/>
      <c r="O1142" s="3"/>
      <c r="P1142" s="3"/>
      <c r="Q1142" s="3"/>
    </row>
    <row r="1143" spans="13:17" x14ac:dyDescent="0.2">
      <c r="M1143" s="3"/>
      <c r="N1143" s="3"/>
      <c r="O1143" s="3"/>
      <c r="P1143" s="3"/>
      <c r="Q1143" s="3"/>
    </row>
    <row r="1144" spans="13:17" x14ac:dyDescent="0.2">
      <c r="M1144" s="3"/>
      <c r="N1144" s="3"/>
      <c r="O1144" s="3"/>
      <c r="P1144" s="3"/>
      <c r="Q1144" s="3"/>
    </row>
    <row r="1145" spans="13:17" x14ac:dyDescent="0.2">
      <c r="M1145" s="3"/>
      <c r="N1145" s="3"/>
      <c r="O1145" s="3"/>
      <c r="P1145" s="3"/>
      <c r="Q1145" s="3"/>
    </row>
    <row r="1146" spans="13:17" x14ac:dyDescent="0.2">
      <c r="M1146" s="3"/>
      <c r="N1146" s="3"/>
      <c r="O1146" s="3"/>
      <c r="P1146" s="3"/>
      <c r="Q1146" s="3"/>
    </row>
    <row r="1147" spans="13:17" x14ac:dyDescent="0.2">
      <c r="M1147" s="3"/>
      <c r="N1147" s="3"/>
      <c r="O1147" s="3"/>
      <c r="P1147" s="3"/>
      <c r="Q1147" s="3"/>
    </row>
    <row r="1148" spans="13:17" x14ac:dyDescent="0.2">
      <c r="M1148" s="3"/>
      <c r="N1148" s="3"/>
      <c r="O1148" s="3"/>
      <c r="P1148" s="3"/>
      <c r="Q1148" s="3"/>
    </row>
    <row r="1149" spans="13:17" x14ac:dyDescent="0.2">
      <c r="M1149" s="3"/>
      <c r="N1149" s="3"/>
      <c r="O1149" s="3"/>
      <c r="P1149" s="3"/>
      <c r="Q1149" s="3"/>
    </row>
    <row r="1150" spans="13:17" x14ac:dyDescent="0.2">
      <c r="M1150" s="3"/>
      <c r="N1150" s="3"/>
      <c r="O1150" s="3"/>
      <c r="P1150" s="3"/>
      <c r="Q1150" s="3"/>
    </row>
    <row r="1151" spans="13:17" x14ac:dyDescent="0.2">
      <c r="M1151" s="3"/>
      <c r="N1151" s="3"/>
      <c r="O1151" s="3"/>
      <c r="P1151" s="3"/>
      <c r="Q1151" s="3"/>
    </row>
    <row r="1152" spans="13:17" x14ac:dyDescent="0.2">
      <c r="M1152" s="3"/>
      <c r="N1152" s="3"/>
      <c r="O1152" s="3"/>
      <c r="P1152" s="3"/>
      <c r="Q1152" s="3"/>
    </row>
    <row r="1153" spans="13:17" x14ac:dyDescent="0.2">
      <c r="M1153" s="3"/>
      <c r="N1153" s="3"/>
      <c r="O1153" s="3"/>
      <c r="P1153" s="3"/>
      <c r="Q1153" s="3"/>
    </row>
    <row r="1154" spans="13:17" x14ac:dyDescent="0.2">
      <c r="M1154" s="3"/>
      <c r="N1154" s="3"/>
      <c r="O1154" s="3"/>
      <c r="P1154" s="3"/>
      <c r="Q1154" s="3"/>
    </row>
    <row r="1155" spans="13:17" x14ac:dyDescent="0.2">
      <c r="M1155" s="3"/>
      <c r="N1155" s="3"/>
      <c r="O1155" s="3"/>
      <c r="P1155" s="3"/>
      <c r="Q1155" s="3"/>
    </row>
    <row r="1156" spans="13:17" x14ac:dyDescent="0.2">
      <c r="M1156" s="3"/>
      <c r="N1156" s="3"/>
      <c r="O1156" s="3"/>
      <c r="P1156" s="3"/>
      <c r="Q1156" s="3"/>
    </row>
    <row r="1157" spans="13:17" x14ac:dyDescent="0.2">
      <c r="M1157" s="3"/>
      <c r="N1157" s="3"/>
      <c r="O1157" s="3"/>
      <c r="P1157" s="3"/>
      <c r="Q1157" s="3"/>
    </row>
    <row r="1158" spans="13:17" x14ac:dyDescent="0.2">
      <c r="M1158" s="3"/>
      <c r="N1158" s="3"/>
      <c r="O1158" s="3"/>
      <c r="P1158" s="3"/>
      <c r="Q1158" s="3"/>
    </row>
    <row r="1159" spans="13:17" x14ac:dyDescent="0.2">
      <c r="M1159" s="3"/>
      <c r="N1159" s="3"/>
      <c r="O1159" s="3"/>
      <c r="P1159" s="3"/>
      <c r="Q1159" s="3"/>
    </row>
    <row r="1160" spans="13:17" x14ac:dyDescent="0.2">
      <c r="M1160" s="3"/>
      <c r="N1160" s="3"/>
      <c r="O1160" s="3"/>
      <c r="P1160" s="3"/>
      <c r="Q1160" s="3"/>
    </row>
    <row r="1161" spans="13:17" x14ac:dyDescent="0.2">
      <c r="M1161" s="3"/>
      <c r="N1161" s="3"/>
      <c r="O1161" s="3"/>
      <c r="P1161" s="3"/>
      <c r="Q1161" s="3"/>
    </row>
    <row r="1162" spans="13:17" x14ac:dyDescent="0.2">
      <c r="M1162" s="3"/>
      <c r="N1162" s="3"/>
      <c r="O1162" s="3"/>
      <c r="P1162" s="3"/>
      <c r="Q1162" s="3"/>
    </row>
    <row r="1163" spans="13:17" x14ac:dyDescent="0.2">
      <c r="M1163" s="3"/>
      <c r="N1163" s="3"/>
      <c r="O1163" s="3"/>
      <c r="P1163" s="3"/>
      <c r="Q1163" s="3"/>
    </row>
    <row r="1164" spans="13:17" x14ac:dyDescent="0.2">
      <c r="M1164" s="3"/>
      <c r="N1164" s="3"/>
      <c r="O1164" s="3"/>
      <c r="P1164" s="3"/>
      <c r="Q1164" s="3"/>
    </row>
    <row r="1165" spans="13:17" x14ac:dyDescent="0.2">
      <c r="M1165" s="3"/>
      <c r="N1165" s="3"/>
      <c r="O1165" s="3"/>
      <c r="P1165" s="3"/>
      <c r="Q1165" s="3"/>
    </row>
    <row r="1166" spans="13:17" x14ac:dyDescent="0.2">
      <c r="M1166" s="3"/>
      <c r="N1166" s="3"/>
      <c r="O1166" s="3"/>
      <c r="P1166" s="3"/>
      <c r="Q1166" s="3"/>
    </row>
    <row r="1167" spans="13:17" x14ac:dyDescent="0.2">
      <c r="M1167" s="3"/>
      <c r="N1167" s="3"/>
      <c r="O1167" s="3"/>
      <c r="P1167" s="3"/>
      <c r="Q1167" s="3"/>
    </row>
    <row r="1168" spans="13:17" x14ac:dyDescent="0.2">
      <c r="M1168" s="3"/>
      <c r="N1168" s="3"/>
      <c r="O1168" s="3"/>
      <c r="P1168" s="3"/>
      <c r="Q1168" s="3"/>
    </row>
    <row r="1169" spans="13:17" x14ac:dyDescent="0.2">
      <c r="M1169" s="3"/>
      <c r="N1169" s="3"/>
      <c r="O1169" s="3"/>
      <c r="P1169" s="3"/>
      <c r="Q1169" s="3"/>
    </row>
    <row r="1170" spans="13:17" x14ac:dyDescent="0.2">
      <c r="M1170" s="3"/>
      <c r="N1170" s="3"/>
      <c r="O1170" s="3"/>
      <c r="P1170" s="3"/>
      <c r="Q1170" s="3"/>
    </row>
    <row r="1171" spans="13:17" x14ac:dyDescent="0.2">
      <c r="M1171" s="3"/>
      <c r="N1171" s="3"/>
      <c r="O1171" s="3"/>
      <c r="P1171" s="3"/>
      <c r="Q1171" s="3"/>
    </row>
    <row r="1172" spans="13:17" x14ac:dyDescent="0.2">
      <c r="M1172" s="3"/>
      <c r="N1172" s="3"/>
      <c r="O1172" s="3"/>
      <c r="P1172" s="3"/>
      <c r="Q1172" s="3"/>
    </row>
    <row r="1173" spans="13:17" x14ac:dyDescent="0.2">
      <c r="M1173" s="3"/>
      <c r="N1173" s="3"/>
      <c r="O1173" s="3"/>
      <c r="P1173" s="3"/>
      <c r="Q1173" s="3"/>
    </row>
    <row r="1174" spans="13:17" x14ac:dyDescent="0.2">
      <c r="M1174" s="3"/>
      <c r="N1174" s="3"/>
      <c r="O1174" s="3"/>
      <c r="P1174" s="3"/>
      <c r="Q1174" s="3"/>
    </row>
    <row r="1175" spans="13:17" x14ac:dyDescent="0.2">
      <c r="M1175" s="3"/>
      <c r="N1175" s="3"/>
      <c r="O1175" s="3"/>
      <c r="P1175" s="3"/>
      <c r="Q1175" s="3"/>
    </row>
    <row r="1176" spans="13:17" x14ac:dyDescent="0.2">
      <c r="M1176" s="3"/>
      <c r="N1176" s="3"/>
      <c r="O1176" s="3"/>
      <c r="P1176" s="3"/>
      <c r="Q1176" s="3"/>
    </row>
    <row r="1177" spans="13:17" x14ac:dyDescent="0.2">
      <c r="M1177" s="3"/>
      <c r="N1177" s="3"/>
      <c r="O1177" s="3"/>
      <c r="P1177" s="3"/>
      <c r="Q1177" s="3"/>
    </row>
    <row r="1178" spans="13:17" x14ac:dyDescent="0.2">
      <c r="M1178" s="3"/>
      <c r="N1178" s="3"/>
      <c r="O1178" s="3"/>
      <c r="P1178" s="3"/>
      <c r="Q1178" s="3"/>
    </row>
    <row r="1179" spans="13:17" x14ac:dyDescent="0.2">
      <c r="M1179" s="3"/>
      <c r="N1179" s="3"/>
      <c r="O1179" s="3"/>
      <c r="P1179" s="3"/>
      <c r="Q1179" s="3"/>
    </row>
    <row r="1180" spans="13:17" x14ac:dyDescent="0.2">
      <c r="M1180" s="3"/>
      <c r="N1180" s="3"/>
      <c r="O1180" s="3"/>
      <c r="P1180" s="3"/>
      <c r="Q1180" s="3"/>
    </row>
    <row r="1181" spans="13:17" x14ac:dyDescent="0.2">
      <c r="M1181" s="3"/>
      <c r="N1181" s="3"/>
      <c r="O1181" s="3"/>
      <c r="P1181" s="3"/>
      <c r="Q1181" s="3"/>
    </row>
    <row r="1182" spans="13:17" x14ac:dyDescent="0.2">
      <c r="M1182" s="3"/>
      <c r="N1182" s="3"/>
      <c r="O1182" s="3"/>
      <c r="P1182" s="3"/>
      <c r="Q1182" s="3"/>
    </row>
    <row r="1183" spans="13:17" x14ac:dyDescent="0.2">
      <c r="M1183" s="3"/>
      <c r="N1183" s="3"/>
      <c r="O1183" s="3"/>
      <c r="P1183" s="3"/>
      <c r="Q1183" s="3"/>
    </row>
    <row r="1184" spans="13:17" x14ac:dyDescent="0.2">
      <c r="M1184" s="3"/>
      <c r="N1184" s="3"/>
      <c r="O1184" s="3"/>
      <c r="P1184" s="3"/>
      <c r="Q1184" s="3"/>
    </row>
    <row r="1185" spans="13:17" x14ac:dyDescent="0.2">
      <c r="M1185" s="3"/>
      <c r="N1185" s="3"/>
      <c r="O1185" s="3"/>
      <c r="P1185" s="3"/>
      <c r="Q1185" s="3"/>
    </row>
    <row r="1186" spans="13:17" x14ac:dyDescent="0.2">
      <c r="M1186" s="3"/>
      <c r="N1186" s="3"/>
      <c r="O1186" s="3"/>
      <c r="P1186" s="3"/>
      <c r="Q1186" s="3"/>
    </row>
    <row r="1187" spans="13:17" x14ac:dyDescent="0.2">
      <c r="M1187" s="3"/>
      <c r="N1187" s="3"/>
      <c r="O1187" s="3"/>
      <c r="P1187" s="3"/>
      <c r="Q1187" s="3"/>
    </row>
    <row r="1188" spans="13:17" x14ac:dyDescent="0.2">
      <c r="M1188" s="3"/>
      <c r="N1188" s="3"/>
      <c r="O1188" s="3"/>
      <c r="P1188" s="3"/>
      <c r="Q1188" s="3"/>
    </row>
    <row r="1189" spans="13:17" x14ac:dyDescent="0.2">
      <c r="M1189" s="3"/>
      <c r="N1189" s="3"/>
      <c r="O1189" s="3"/>
      <c r="P1189" s="3"/>
      <c r="Q1189" s="3"/>
    </row>
    <row r="1190" spans="13:17" x14ac:dyDescent="0.2">
      <c r="M1190" s="3"/>
      <c r="N1190" s="3"/>
      <c r="O1190" s="3"/>
      <c r="P1190" s="3"/>
      <c r="Q1190" s="3"/>
    </row>
    <row r="1191" spans="13:17" x14ac:dyDescent="0.2">
      <c r="M1191" s="3"/>
      <c r="N1191" s="3"/>
      <c r="O1191" s="3"/>
      <c r="P1191" s="3"/>
      <c r="Q1191" s="3"/>
    </row>
    <row r="1192" spans="13:17" x14ac:dyDescent="0.2">
      <c r="M1192" s="3"/>
      <c r="N1192" s="3"/>
      <c r="O1192" s="3"/>
      <c r="P1192" s="3"/>
      <c r="Q1192" s="3"/>
    </row>
    <row r="1193" spans="13:17" x14ac:dyDescent="0.2">
      <c r="M1193" s="3"/>
      <c r="N1193" s="3"/>
      <c r="O1193" s="3"/>
      <c r="P1193" s="3"/>
      <c r="Q1193" s="3"/>
    </row>
    <row r="1194" spans="13:17" x14ac:dyDescent="0.2">
      <c r="M1194" s="3"/>
      <c r="N1194" s="3"/>
      <c r="O1194" s="3"/>
      <c r="P1194" s="3"/>
      <c r="Q1194" s="3"/>
    </row>
    <row r="1195" spans="13:17" x14ac:dyDescent="0.2">
      <c r="M1195" s="3"/>
      <c r="N1195" s="3"/>
      <c r="O1195" s="3"/>
      <c r="P1195" s="3"/>
      <c r="Q1195" s="3"/>
    </row>
    <row r="1196" spans="13:17" x14ac:dyDescent="0.2">
      <c r="M1196" s="3"/>
      <c r="N1196" s="3"/>
      <c r="O1196" s="3"/>
      <c r="P1196" s="3"/>
      <c r="Q1196" s="3"/>
    </row>
    <row r="1197" spans="13:17" x14ac:dyDescent="0.2">
      <c r="M1197" s="3"/>
      <c r="N1197" s="3"/>
      <c r="O1197" s="3"/>
      <c r="P1197" s="3"/>
      <c r="Q1197" s="3"/>
    </row>
    <row r="1198" spans="13:17" x14ac:dyDescent="0.2">
      <c r="M1198" s="3"/>
      <c r="N1198" s="3"/>
      <c r="O1198" s="3"/>
      <c r="P1198" s="3"/>
      <c r="Q1198" s="3"/>
    </row>
    <row r="1199" spans="13:17" x14ac:dyDescent="0.2">
      <c r="M1199" s="3"/>
      <c r="N1199" s="3"/>
      <c r="O1199" s="3"/>
      <c r="P1199" s="3"/>
      <c r="Q1199" s="3"/>
    </row>
    <row r="1200" spans="13:17" x14ac:dyDescent="0.2">
      <c r="M1200" s="3"/>
      <c r="N1200" s="3"/>
      <c r="O1200" s="3"/>
      <c r="P1200" s="3"/>
      <c r="Q1200" s="3"/>
    </row>
    <row r="1201" spans="13:17" x14ac:dyDescent="0.2">
      <c r="M1201" s="3"/>
      <c r="N1201" s="3"/>
      <c r="O1201" s="3"/>
      <c r="P1201" s="3"/>
      <c r="Q1201" s="3"/>
    </row>
    <row r="1202" spans="13:17" x14ac:dyDescent="0.2">
      <c r="M1202" s="3"/>
      <c r="N1202" s="3"/>
      <c r="O1202" s="3"/>
      <c r="P1202" s="3"/>
      <c r="Q1202" s="3"/>
    </row>
    <row r="1203" spans="13:17" x14ac:dyDescent="0.2">
      <c r="M1203" s="3"/>
      <c r="N1203" s="3"/>
      <c r="O1203" s="3"/>
      <c r="P1203" s="3"/>
      <c r="Q1203" s="3"/>
    </row>
    <row r="1204" spans="13:17" x14ac:dyDescent="0.2">
      <c r="M1204" s="3"/>
      <c r="N1204" s="3"/>
      <c r="O1204" s="3"/>
      <c r="P1204" s="3"/>
      <c r="Q1204" s="3"/>
    </row>
    <row r="1205" spans="13:17" x14ac:dyDescent="0.2">
      <c r="M1205" s="3"/>
      <c r="N1205" s="3"/>
      <c r="O1205" s="3"/>
      <c r="P1205" s="3"/>
      <c r="Q1205" s="3"/>
    </row>
    <row r="1206" spans="13:17" x14ac:dyDescent="0.2">
      <c r="M1206" s="3"/>
      <c r="N1206" s="3"/>
      <c r="O1206" s="3"/>
      <c r="P1206" s="3"/>
      <c r="Q1206" s="3"/>
    </row>
    <row r="1207" spans="13:17" x14ac:dyDescent="0.2">
      <c r="M1207" s="3"/>
      <c r="N1207" s="3"/>
      <c r="O1207" s="3"/>
      <c r="P1207" s="3"/>
      <c r="Q1207" s="3"/>
    </row>
    <row r="1208" spans="13:17" x14ac:dyDescent="0.2">
      <c r="M1208" s="3"/>
      <c r="N1208" s="3"/>
      <c r="O1208" s="3"/>
      <c r="P1208" s="3"/>
      <c r="Q1208" s="3"/>
    </row>
    <row r="1209" spans="13:17" x14ac:dyDescent="0.2">
      <c r="M1209" s="3"/>
      <c r="N1209" s="3"/>
      <c r="O1209" s="3"/>
      <c r="P1209" s="3"/>
      <c r="Q1209" s="3"/>
    </row>
    <row r="1210" spans="13:17" x14ac:dyDescent="0.2">
      <c r="M1210" s="3"/>
      <c r="N1210" s="3"/>
      <c r="O1210" s="3"/>
      <c r="P1210" s="3"/>
      <c r="Q1210" s="3"/>
    </row>
    <row r="1211" spans="13:17" x14ac:dyDescent="0.2">
      <c r="M1211" s="3"/>
      <c r="N1211" s="3"/>
      <c r="O1211" s="3"/>
      <c r="P1211" s="3"/>
      <c r="Q1211" s="3"/>
    </row>
    <row r="1212" spans="13:17" x14ac:dyDescent="0.2">
      <c r="M1212" s="3"/>
      <c r="N1212" s="3"/>
      <c r="O1212" s="3"/>
      <c r="P1212" s="3"/>
      <c r="Q1212" s="3"/>
    </row>
    <row r="1213" spans="13:17" x14ac:dyDescent="0.2">
      <c r="M1213" s="3"/>
      <c r="N1213" s="3"/>
      <c r="O1213" s="3"/>
      <c r="P1213" s="3"/>
      <c r="Q1213" s="3"/>
    </row>
    <row r="1214" spans="13:17" x14ac:dyDescent="0.2">
      <c r="M1214" s="3"/>
      <c r="N1214" s="3"/>
      <c r="O1214" s="3"/>
      <c r="P1214" s="3"/>
      <c r="Q1214" s="3"/>
    </row>
    <row r="1215" spans="13:17" x14ac:dyDescent="0.2">
      <c r="M1215" s="3"/>
      <c r="N1215" s="3"/>
      <c r="O1215" s="3"/>
      <c r="P1215" s="3"/>
      <c r="Q1215" s="3"/>
    </row>
    <row r="1216" spans="13:17" x14ac:dyDescent="0.2">
      <c r="M1216" s="3"/>
      <c r="N1216" s="3"/>
      <c r="O1216" s="3"/>
      <c r="P1216" s="3"/>
      <c r="Q1216" s="3"/>
    </row>
    <row r="1217" spans="13:17" x14ac:dyDescent="0.2">
      <c r="M1217" s="3"/>
      <c r="N1217" s="3"/>
      <c r="O1217" s="3"/>
      <c r="P1217" s="3"/>
      <c r="Q1217" s="3"/>
    </row>
    <row r="1218" spans="13:17" x14ac:dyDescent="0.2">
      <c r="M1218" s="3"/>
      <c r="N1218" s="3"/>
      <c r="O1218" s="3"/>
      <c r="P1218" s="3"/>
      <c r="Q1218" s="3"/>
    </row>
    <row r="1219" spans="13:17" x14ac:dyDescent="0.2">
      <c r="M1219" s="3"/>
      <c r="N1219" s="3"/>
      <c r="O1219" s="3"/>
      <c r="P1219" s="3"/>
      <c r="Q1219" s="3"/>
    </row>
    <row r="1220" spans="13:17" x14ac:dyDescent="0.2">
      <c r="M1220" s="3"/>
      <c r="N1220" s="3"/>
      <c r="O1220" s="3"/>
      <c r="P1220" s="3"/>
      <c r="Q1220" s="3"/>
    </row>
    <row r="1221" spans="13:17" x14ac:dyDescent="0.2">
      <c r="M1221" s="3"/>
      <c r="N1221" s="3"/>
      <c r="O1221" s="3"/>
      <c r="P1221" s="3"/>
      <c r="Q1221" s="3"/>
    </row>
    <row r="1222" spans="13:17" x14ac:dyDescent="0.2">
      <c r="M1222" s="3"/>
      <c r="N1222" s="3"/>
      <c r="O1222" s="3"/>
      <c r="P1222" s="3"/>
      <c r="Q1222" s="3"/>
    </row>
    <row r="1223" spans="13:17" x14ac:dyDescent="0.2">
      <c r="M1223" s="3"/>
      <c r="N1223" s="3"/>
      <c r="O1223" s="3"/>
      <c r="P1223" s="3"/>
      <c r="Q1223" s="3"/>
    </row>
    <row r="1224" spans="13:17" x14ac:dyDescent="0.2">
      <c r="M1224" s="3"/>
      <c r="N1224" s="3"/>
      <c r="O1224" s="3"/>
      <c r="P1224" s="3"/>
      <c r="Q1224" s="3"/>
    </row>
    <row r="1225" spans="13:17" x14ac:dyDescent="0.2">
      <c r="M1225" s="3"/>
      <c r="N1225" s="3"/>
      <c r="O1225" s="3"/>
      <c r="P1225" s="3"/>
      <c r="Q1225" s="3"/>
    </row>
    <row r="1226" spans="13:17" x14ac:dyDescent="0.2">
      <c r="M1226" s="3"/>
      <c r="N1226" s="3"/>
      <c r="O1226" s="3"/>
      <c r="P1226" s="3"/>
      <c r="Q1226" s="3"/>
    </row>
    <row r="1227" spans="13:17" x14ac:dyDescent="0.2">
      <c r="M1227" s="3"/>
      <c r="N1227" s="3"/>
      <c r="O1227" s="3"/>
      <c r="P1227" s="3"/>
      <c r="Q1227" s="3"/>
    </row>
    <row r="1228" spans="13:17" x14ac:dyDescent="0.2">
      <c r="M1228" s="3"/>
      <c r="N1228" s="3"/>
      <c r="O1228" s="3"/>
      <c r="P1228" s="3"/>
      <c r="Q1228" s="3"/>
    </row>
    <row r="1229" spans="13:17" x14ac:dyDescent="0.2">
      <c r="M1229" s="3"/>
      <c r="N1229" s="3"/>
      <c r="O1229" s="3"/>
      <c r="P1229" s="3"/>
      <c r="Q1229" s="3"/>
    </row>
    <row r="1230" spans="13:17" x14ac:dyDescent="0.2">
      <c r="M1230" s="3"/>
      <c r="N1230" s="3"/>
      <c r="O1230" s="3"/>
      <c r="P1230" s="3"/>
      <c r="Q1230" s="3"/>
    </row>
    <row r="1231" spans="13:17" x14ac:dyDescent="0.2">
      <c r="M1231" s="3"/>
      <c r="N1231" s="3"/>
      <c r="O1231" s="3"/>
      <c r="P1231" s="3"/>
      <c r="Q1231" s="3"/>
    </row>
    <row r="1232" spans="13:17" x14ac:dyDescent="0.2">
      <c r="M1232" s="3"/>
      <c r="N1232" s="3"/>
      <c r="O1232" s="3"/>
      <c r="P1232" s="3"/>
      <c r="Q1232" s="3"/>
    </row>
    <row r="1233" spans="13:17" x14ac:dyDescent="0.2">
      <c r="M1233" s="3"/>
      <c r="N1233" s="3"/>
      <c r="O1233" s="3"/>
      <c r="P1233" s="3"/>
      <c r="Q1233" s="3"/>
    </row>
    <row r="1234" spans="13:17" x14ac:dyDescent="0.2">
      <c r="M1234" s="3"/>
      <c r="N1234" s="3"/>
      <c r="O1234" s="3"/>
      <c r="P1234" s="3"/>
      <c r="Q1234" s="3"/>
    </row>
    <row r="1235" spans="13:17" x14ac:dyDescent="0.2">
      <c r="M1235" s="3"/>
      <c r="N1235" s="3"/>
      <c r="O1235" s="3"/>
      <c r="P1235" s="3"/>
      <c r="Q1235" s="3"/>
    </row>
    <row r="1236" spans="13:17" x14ac:dyDescent="0.2">
      <c r="M1236" s="3"/>
      <c r="N1236" s="3"/>
      <c r="O1236" s="3"/>
      <c r="P1236" s="3"/>
      <c r="Q1236" s="3"/>
    </row>
    <row r="1237" spans="13:17" x14ac:dyDescent="0.2">
      <c r="M1237" s="3"/>
      <c r="N1237" s="3"/>
      <c r="O1237" s="3"/>
      <c r="P1237" s="3"/>
      <c r="Q1237" s="3"/>
    </row>
    <row r="1238" spans="13:17" x14ac:dyDescent="0.2">
      <c r="M1238" s="3"/>
      <c r="N1238" s="3"/>
      <c r="O1238" s="3"/>
      <c r="P1238" s="3"/>
      <c r="Q1238" s="3"/>
    </row>
    <row r="1239" spans="13:17" x14ac:dyDescent="0.2">
      <c r="M1239" s="3"/>
      <c r="N1239" s="3"/>
      <c r="O1239" s="3"/>
      <c r="P1239" s="3"/>
      <c r="Q1239" s="3"/>
    </row>
    <row r="1240" spans="13:17" x14ac:dyDescent="0.2">
      <c r="M1240" s="3"/>
      <c r="N1240" s="3"/>
      <c r="O1240" s="3"/>
      <c r="P1240" s="3"/>
      <c r="Q1240" s="3"/>
    </row>
    <row r="1241" spans="13:17" x14ac:dyDescent="0.2">
      <c r="M1241" s="3"/>
      <c r="N1241" s="3"/>
      <c r="O1241" s="3"/>
      <c r="P1241" s="3"/>
      <c r="Q1241" s="3"/>
    </row>
    <row r="1242" spans="13:17" x14ac:dyDescent="0.2">
      <c r="M1242" s="3"/>
      <c r="N1242" s="3"/>
      <c r="O1242" s="3"/>
      <c r="P1242" s="3"/>
      <c r="Q1242" s="3"/>
    </row>
    <row r="1243" spans="13:17" x14ac:dyDescent="0.2">
      <c r="M1243" s="3"/>
      <c r="N1243" s="3"/>
      <c r="O1243" s="3"/>
      <c r="P1243" s="3"/>
      <c r="Q1243" s="3"/>
    </row>
    <row r="1244" spans="13:17" x14ac:dyDescent="0.2">
      <c r="M1244" s="3"/>
      <c r="N1244" s="3"/>
      <c r="O1244" s="3"/>
      <c r="P1244" s="3"/>
      <c r="Q1244" s="3"/>
    </row>
    <row r="1245" spans="13:17" x14ac:dyDescent="0.2">
      <c r="M1245" s="3"/>
      <c r="N1245" s="3"/>
      <c r="O1245" s="3"/>
      <c r="P1245" s="3"/>
      <c r="Q1245" s="3"/>
    </row>
    <row r="1246" spans="13:17" x14ac:dyDescent="0.2">
      <c r="M1246" s="3"/>
      <c r="N1246" s="3"/>
      <c r="O1246" s="3"/>
      <c r="P1246" s="3"/>
      <c r="Q1246" s="3"/>
    </row>
    <row r="1247" spans="13:17" x14ac:dyDescent="0.2">
      <c r="M1247" s="3"/>
      <c r="N1247" s="3"/>
      <c r="O1247" s="3"/>
      <c r="P1247" s="3"/>
      <c r="Q1247" s="3"/>
    </row>
    <row r="1248" spans="13:17" x14ac:dyDescent="0.2">
      <c r="M1248" s="3"/>
      <c r="N1248" s="3"/>
      <c r="O1248" s="3"/>
      <c r="P1248" s="3"/>
      <c r="Q1248" s="3"/>
    </row>
    <row r="1249" spans="13:17" x14ac:dyDescent="0.2">
      <c r="M1249" s="3"/>
      <c r="N1249" s="3"/>
      <c r="O1249" s="3"/>
      <c r="P1249" s="3"/>
      <c r="Q1249" s="3"/>
    </row>
    <row r="1250" spans="13:17" x14ac:dyDescent="0.2">
      <c r="M1250" s="3"/>
      <c r="N1250" s="3"/>
      <c r="O1250" s="3"/>
      <c r="P1250" s="3"/>
      <c r="Q1250" s="3"/>
    </row>
    <row r="1251" spans="13:17" x14ac:dyDescent="0.2">
      <c r="M1251" s="3"/>
      <c r="N1251" s="3"/>
      <c r="O1251" s="3"/>
      <c r="P1251" s="3"/>
      <c r="Q1251" s="3"/>
    </row>
    <row r="1252" spans="13:17" x14ac:dyDescent="0.2">
      <c r="M1252" s="3"/>
      <c r="N1252" s="3"/>
      <c r="O1252" s="3"/>
      <c r="P1252" s="3"/>
      <c r="Q1252" s="3"/>
    </row>
    <row r="1253" spans="13:17" x14ac:dyDescent="0.2">
      <c r="M1253" s="3"/>
      <c r="N1253" s="3"/>
      <c r="O1253" s="3"/>
      <c r="P1253" s="3"/>
      <c r="Q1253" s="3"/>
    </row>
    <row r="1254" spans="13:17" x14ac:dyDescent="0.2">
      <c r="M1254" s="3"/>
      <c r="N1254" s="3"/>
      <c r="O1254" s="3"/>
      <c r="P1254" s="3"/>
      <c r="Q1254" s="3"/>
    </row>
    <row r="1255" spans="13:17" x14ac:dyDescent="0.2">
      <c r="M1255" s="3"/>
      <c r="N1255" s="3"/>
      <c r="O1255" s="3"/>
      <c r="P1255" s="3"/>
      <c r="Q1255" s="3"/>
    </row>
    <row r="1256" spans="13:17" x14ac:dyDescent="0.2">
      <c r="M1256" s="3"/>
      <c r="N1256" s="3"/>
      <c r="O1256" s="3"/>
      <c r="P1256" s="3"/>
      <c r="Q1256" s="3"/>
    </row>
    <row r="1257" spans="13:17" x14ac:dyDescent="0.2">
      <c r="M1257" s="3"/>
      <c r="N1257" s="3"/>
      <c r="O1257" s="3"/>
      <c r="P1257" s="3"/>
      <c r="Q1257" s="3"/>
    </row>
    <row r="1258" spans="13:17" x14ac:dyDescent="0.2">
      <c r="M1258" s="3"/>
      <c r="N1258" s="3"/>
      <c r="O1258" s="3"/>
      <c r="P1258" s="3"/>
      <c r="Q1258" s="3"/>
    </row>
    <row r="1259" spans="13:17" x14ac:dyDescent="0.2">
      <c r="M1259" s="3"/>
      <c r="N1259" s="3"/>
      <c r="O1259" s="3"/>
      <c r="P1259" s="3"/>
      <c r="Q1259" s="3"/>
    </row>
    <row r="1260" spans="13:17" x14ac:dyDescent="0.2">
      <c r="M1260" s="3"/>
      <c r="N1260" s="3"/>
      <c r="O1260" s="3"/>
      <c r="P1260" s="3"/>
      <c r="Q1260" s="3"/>
    </row>
    <row r="1261" spans="13:17" x14ac:dyDescent="0.2">
      <c r="M1261" s="3"/>
      <c r="N1261" s="3"/>
      <c r="O1261" s="3"/>
      <c r="P1261" s="3"/>
      <c r="Q1261" s="3"/>
    </row>
    <row r="1262" spans="13:17" x14ac:dyDescent="0.2">
      <c r="M1262" s="3"/>
      <c r="N1262" s="3"/>
      <c r="O1262" s="3"/>
      <c r="P1262" s="3"/>
      <c r="Q1262" s="3"/>
    </row>
    <row r="1263" spans="13:17" x14ac:dyDescent="0.2">
      <c r="M1263" s="3"/>
      <c r="N1263" s="3"/>
      <c r="O1263" s="3"/>
      <c r="P1263" s="3"/>
      <c r="Q1263" s="3"/>
    </row>
    <row r="1264" spans="13:17" x14ac:dyDescent="0.2">
      <c r="M1264" s="3"/>
      <c r="N1264" s="3"/>
      <c r="O1264" s="3"/>
      <c r="P1264" s="3"/>
      <c r="Q1264" s="3"/>
    </row>
    <row r="1265" spans="13:17" x14ac:dyDescent="0.2">
      <c r="M1265" s="3"/>
      <c r="N1265" s="3"/>
      <c r="O1265" s="3"/>
      <c r="P1265" s="3"/>
      <c r="Q1265" s="3"/>
    </row>
    <row r="1266" spans="13:17" x14ac:dyDescent="0.2">
      <c r="M1266" s="3"/>
      <c r="N1266" s="3"/>
      <c r="O1266" s="3"/>
      <c r="P1266" s="3"/>
      <c r="Q1266" s="3"/>
    </row>
    <row r="1267" spans="13:17" x14ac:dyDescent="0.2">
      <c r="M1267" s="3"/>
      <c r="N1267" s="3"/>
      <c r="O1267" s="3"/>
      <c r="P1267" s="3"/>
      <c r="Q1267" s="3"/>
    </row>
    <row r="1268" spans="13:17" x14ac:dyDescent="0.2">
      <c r="M1268" s="3"/>
      <c r="N1268" s="3"/>
      <c r="O1268" s="3"/>
      <c r="P1268" s="3"/>
      <c r="Q1268" s="3"/>
    </row>
    <row r="1269" spans="13:17" x14ac:dyDescent="0.2">
      <c r="M1269" s="3"/>
      <c r="N1269" s="3"/>
      <c r="O1269" s="3"/>
      <c r="P1269" s="3"/>
      <c r="Q1269" s="3"/>
    </row>
    <row r="1270" spans="13:17" x14ac:dyDescent="0.2">
      <c r="M1270" s="3"/>
      <c r="N1270" s="3"/>
      <c r="O1270" s="3"/>
      <c r="P1270" s="3"/>
      <c r="Q1270" s="3"/>
    </row>
    <row r="1271" spans="13:17" x14ac:dyDescent="0.2">
      <c r="M1271" s="3"/>
      <c r="N1271" s="3"/>
      <c r="O1271" s="3"/>
      <c r="P1271" s="3"/>
      <c r="Q1271" s="3"/>
    </row>
    <row r="1272" spans="13:17" x14ac:dyDescent="0.2">
      <c r="M1272" s="3"/>
      <c r="N1272" s="3"/>
      <c r="O1272" s="3"/>
      <c r="P1272" s="3"/>
      <c r="Q1272" s="3"/>
    </row>
    <row r="1273" spans="13:17" x14ac:dyDescent="0.2">
      <c r="M1273" s="3"/>
      <c r="N1273" s="3"/>
      <c r="O1273" s="3"/>
      <c r="P1273" s="3"/>
      <c r="Q1273" s="3"/>
    </row>
    <row r="1274" spans="13:17" x14ac:dyDescent="0.2">
      <c r="M1274" s="3"/>
      <c r="N1274" s="3"/>
      <c r="O1274" s="3"/>
      <c r="P1274" s="3"/>
      <c r="Q1274" s="3"/>
    </row>
    <row r="1275" spans="13:17" x14ac:dyDescent="0.2">
      <c r="M1275" s="3"/>
      <c r="N1275" s="3"/>
      <c r="O1275" s="3"/>
      <c r="P1275" s="3"/>
      <c r="Q1275" s="3"/>
    </row>
    <row r="1276" spans="13:17" x14ac:dyDescent="0.2">
      <c r="M1276" s="3"/>
      <c r="N1276" s="3"/>
      <c r="O1276" s="3"/>
      <c r="P1276" s="3"/>
      <c r="Q1276" s="3"/>
    </row>
    <row r="1277" spans="13:17" x14ac:dyDescent="0.2">
      <c r="M1277" s="3"/>
      <c r="N1277" s="3"/>
      <c r="O1277" s="3"/>
      <c r="P1277" s="3"/>
      <c r="Q1277" s="3"/>
    </row>
    <row r="1278" spans="13:17" x14ac:dyDescent="0.2">
      <c r="M1278" s="3"/>
      <c r="N1278" s="3"/>
      <c r="O1278" s="3"/>
      <c r="P1278" s="3"/>
      <c r="Q1278" s="3"/>
    </row>
    <row r="1279" spans="13:17" x14ac:dyDescent="0.2">
      <c r="M1279" s="3"/>
      <c r="N1279" s="3"/>
      <c r="O1279" s="3"/>
      <c r="P1279" s="3"/>
      <c r="Q1279" s="3"/>
    </row>
    <row r="1280" spans="13:17" x14ac:dyDescent="0.2">
      <c r="M1280" s="3"/>
      <c r="N1280" s="3"/>
      <c r="O1280" s="3"/>
      <c r="P1280" s="3"/>
      <c r="Q1280" s="3"/>
    </row>
    <row r="1281" spans="13:17" x14ac:dyDescent="0.2">
      <c r="M1281" s="3"/>
      <c r="N1281" s="3"/>
      <c r="O1281" s="3"/>
      <c r="P1281" s="3"/>
      <c r="Q1281" s="3"/>
    </row>
    <row r="1282" spans="13:17" x14ac:dyDescent="0.2">
      <c r="M1282" s="3"/>
      <c r="N1282" s="3"/>
      <c r="O1282" s="3"/>
      <c r="P1282" s="3"/>
      <c r="Q1282" s="3"/>
    </row>
    <row r="1283" spans="13:17" x14ac:dyDescent="0.2">
      <c r="M1283" s="3"/>
      <c r="N1283" s="3"/>
      <c r="O1283" s="3"/>
      <c r="P1283" s="3"/>
      <c r="Q1283" s="3"/>
    </row>
    <row r="1284" spans="13:17" x14ac:dyDescent="0.2">
      <c r="M1284" s="3"/>
      <c r="N1284" s="3"/>
      <c r="O1284" s="3"/>
      <c r="P1284" s="3"/>
      <c r="Q1284" s="3"/>
    </row>
    <row r="1285" spans="13:17" x14ac:dyDescent="0.2">
      <c r="M1285" s="3"/>
      <c r="N1285" s="3"/>
      <c r="O1285" s="3"/>
      <c r="P1285" s="3"/>
      <c r="Q1285" s="3"/>
    </row>
    <row r="1286" spans="13:17" x14ac:dyDescent="0.2">
      <c r="M1286" s="3"/>
      <c r="N1286" s="3"/>
      <c r="O1286" s="3"/>
      <c r="P1286" s="3"/>
      <c r="Q1286" s="3"/>
    </row>
    <row r="1287" spans="13:17" x14ac:dyDescent="0.2">
      <c r="M1287" s="3"/>
      <c r="N1287" s="3"/>
      <c r="O1287" s="3"/>
      <c r="P1287" s="3"/>
      <c r="Q1287" s="3"/>
    </row>
    <row r="1288" spans="13:17" x14ac:dyDescent="0.2">
      <c r="M1288" s="3"/>
      <c r="N1288" s="3"/>
      <c r="O1288" s="3"/>
      <c r="P1288" s="3"/>
      <c r="Q1288" s="3"/>
    </row>
    <row r="1289" spans="13:17" x14ac:dyDescent="0.2">
      <c r="M1289" s="3"/>
      <c r="N1289" s="3"/>
      <c r="O1289" s="3"/>
      <c r="P1289" s="3"/>
      <c r="Q1289" s="3"/>
    </row>
    <row r="1290" spans="13:17" x14ac:dyDescent="0.2">
      <c r="M1290" s="3"/>
      <c r="N1290" s="3"/>
      <c r="O1290" s="3"/>
      <c r="P1290" s="3"/>
      <c r="Q1290" s="3"/>
    </row>
    <row r="1291" spans="13:17" x14ac:dyDescent="0.2">
      <c r="M1291" s="3"/>
      <c r="N1291" s="3"/>
      <c r="O1291" s="3"/>
      <c r="P1291" s="3"/>
      <c r="Q1291" s="3"/>
    </row>
    <row r="1292" spans="13:17" x14ac:dyDescent="0.2">
      <c r="M1292" s="3"/>
      <c r="N1292" s="3"/>
      <c r="O1292" s="3"/>
      <c r="P1292" s="3"/>
      <c r="Q1292" s="3"/>
    </row>
    <row r="1293" spans="13:17" x14ac:dyDescent="0.2">
      <c r="M1293" s="3"/>
      <c r="N1293" s="3"/>
      <c r="O1293" s="3"/>
      <c r="P1293" s="3"/>
      <c r="Q1293" s="3"/>
    </row>
    <row r="1294" spans="13:17" x14ac:dyDescent="0.2">
      <c r="M1294" s="3"/>
      <c r="N1294" s="3"/>
      <c r="O1294" s="3"/>
      <c r="P1294" s="3"/>
      <c r="Q1294" s="3"/>
    </row>
    <row r="1295" spans="13:17" x14ac:dyDescent="0.2">
      <c r="M1295" s="3"/>
      <c r="N1295" s="3"/>
      <c r="O1295" s="3"/>
      <c r="P1295" s="3"/>
      <c r="Q1295" s="3"/>
    </row>
    <row r="1296" spans="13:17" x14ac:dyDescent="0.2">
      <c r="M1296" s="3"/>
      <c r="N1296" s="3"/>
      <c r="O1296" s="3"/>
      <c r="P1296" s="3"/>
      <c r="Q1296" s="3"/>
    </row>
    <row r="1297" spans="13:17" x14ac:dyDescent="0.2">
      <c r="M1297" s="3"/>
      <c r="N1297" s="3"/>
      <c r="O1297" s="3"/>
      <c r="P1297" s="3"/>
      <c r="Q1297" s="3"/>
    </row>
    <row r="1298" spans="13:17" x14ac:dyDescent="0.2">
      <c r="M1298" s="3"/>
      <c r="N1298" s="3"/>
      <c r="O1298" s="3"/>
      <c r="P1298" s="3"/>
      <c r="Q1298" s="3"/>
    </row>
    <row r="1299" spans="13:17" x14ac:dyDescent="0.2">
      <c r="M1299" s="3"/>
      <c r="N1299" s="3"/>
      <c r="O1299" s="3"/>
      <c r="P1299" s="3"/>
      <c r="Q1299" s="3"/>
    </row>
    <row r="1300" spans="13:17" x14ac:dyDescent="0.2">
      <c r="M1300" s="3"/>
      <c r="N1300" s="3"/>
      <c r="O1300" s="3"/>
      <c r="P1300" s="3"/>
      <c r="Q1300" s="3"/>
    </row>
    <row r="1301" spans="13:17" x14ac:dyDescent="0.2">
      <c r="M1301" s="3"/>
      <c r="N1301" s="3"/>
      <c r="O1301" s="3"/>
      <c r="P1301" s="3"/>
      <c r="Q1301" s="3"/>
    </row>
    <row r="1302" spans="13:17" x14ac:dyDescent="0.2">
      <c r="M1302" s="3"/>
      <c r="N1302" s="3"/>
      <c r="O1302" s="3"/>
      <c r="P1302" s="3"/>
      <c r="Q1302" s="3"/>
    </row>
    <row r="1303" spans="13:17" x14ac:dyDescent="0.2">
      <c r="M1303" s="3"/>
      <c r="N1303" s="3"/>
      <c r="O1303" s="3"/>
      <c r="P1303" s="3"/>
      <c r="Q1303" s="3"/>
    </row>
    <row r="1304" spans="13:17" x14ac:dyDescent="0.2">
      <c r="M1304" s="3"/>
      <c r="N1304" s="3"/>
      <c r="O1304" s="3"/>
      <c r="P1304" s="3"/>
      <c r="Q1304" s="3"/>
    </row>
    <row r="1305" spans="13:17" x14ac:dyDescent="0.2">
      <c r="M1305" s="3"/>
      <c r="N1305" s="3"/>
      <c r="O1305" s="3"/>
      <c r="P1305" s="3"/>
      <c r="Q1305" s="3"/>
    </row>
    <row r="1306" spans="13:17" x14ac:dyDescent="0.2">
      <c r="M1306" s="3"/>
      <c r="N1306" s="3"/>
      <c r="O1306" s="3"/>
      <c r="P1306" s="3"/>
      <c r="Q1306" s="3"/>
    </row>
    <row r="1307" spans="13:17" x14ac:dyDescent="0.2">
      <c r="M1307" s="3"/>
      <c r="N1307" s="3"/>
      <c r="O1307" s="3"/>
      <c r="P1307" s="3"/>
      <c r="Q1307" s="3"/>
    </row>
    <row r="1308" spans="13:17" x14ac:dyDescent="0.2">
      <c r="M1308" s="3"/>
      <c r="N1308" s="3"/>
      <c r="O1308" s="3"/>
      <c r="P1308" s="3"/>
      <c r="Q1308" s="3"/>
    </row>
    <row r="1309" spans="13:17" x14ac:dyDescent="0.2">
      <c r="M1309" s="3"/>
      <c r="N1309" s="3"/>
      <c r="O1309" s="3"/>
      <c r="P1309" s="3"/>
      <c r="Q1309" s="3"/>
    </row>
    <row r="1310" spans="13:17" x14ac:dyDescent="0.2">
      <c r="M1310" s="3"/>
      <c r="N1310" s="3"/>
      <c r="O1310" s="3"/>
      <c r="P1310" s="3"/>
      <c r="Q1310" s="3"/>
    </row>
    <row r="1311" spans="13:17" x14ac:dyDescent="0.2">
      <c r="M1311" s="3"/>
      <c r="N1311" s="3"/>
      <c r="O1311" s="3"/>
      <c r="P1311" s="3"/>
      <c r="Q1311" s="3"/>
    </row>
    <row r="1312" spans="13:17" x14ac:dyDescent="0.2">
      <c r="M1312" s="3"/>
      <c r="N1312" s="3"/>
      <c r="O1312" s="3"/>
      <c r="P1312" s="3"/>
      <c r="Q1312" s="3"/>
    </row>
    <row r="1313" spans="13:17" x14ac:dyDescent="0.2">
      <c r="M1313" s="3"/>
      <c r="N1313" s="3"/>
      <c r="O1313" s="3"/>
      <c r="P1313" s="3"/>
      <c r="Q1313" s="3"/>
    </row>
    <row r="1314" spans="13:17" x14ac:dyDescent="0.2">
      <c r="M1314" s="3"/>
      <c r="N1314" s="3"/>
      <c r="O1314" s="3"/>
      <c r="P1314" s="3"/>
      <c r="Q1314" s="3"/>
    </row>
    <row r="1315" spans="13:17" x14ac:dyDescent="0.2">
      <c r="M1315" s="3"/>
      <c r="N1315" s="3"/>
      <c r="O1315" s="3"/>
      <c r="P1315" s="3"/>
      <c r="Q1315" s="3"/>
    </row>
    <row r="1316" spans="13:17" x14ac:dyDescent="0.2">
      <c r="M1316" s="3"/>
      <c r="N1316" s="3"/>
      <c r="O1316" s="3"/>
      <c r="P1316" s="3"/>
      <c r="Q1316" s="3"/>
    </row>
    <row r="1317" spans="13:17" x14ac:dyDescent="0.2">
      <c r="M1317" s="3"/>
      <c r="N1317" s="3"/>
      <c r="O1317" s="3"/>
      <c r="P1317" s="3"/>
      <c r="Q1317" s="3"/>
    </row>
    <row r="1318" spans="13:17" x14ac:dyDescent="0.2">
      <c r="M1318" s="3"/>
      <c r="N1318" s="3"/>
      <c r="O1318" s="3"/>
      <c r="P1318" s="3"/>
      <c r="Q1318" s="3"/>
    </row>
    <row r="1319" spans="13:17" x14ac:dyDescent="0.2">
      <c r="M1319" s="3"/>
      <c r="N1319" s="3"/>
      <c r="O1319" s="3"/>
      <c r="P1319" s="3"/>
      <c r="Q1319" s="3"/>
    </row>
    <row r="1320" spans="13:17" x14ac:dyDescent="0.2">
      <c r="M1320" s="3"/>
      <c r="N1320" s="3"/>
      <c r="O1320" s="3"/>
      <c r="P1320" s="3"/>
      <c r="Q1320" s="3"/>
    </row>
    <row r="1321" spans="13:17" x14ac:dyDescent="0.2">
      <c r="M1321" s="3"/>
      <c r="N1321" s="3"/>
      <c r="O1321" s="3"/>
      <c r="P1321" s="3"/>
      <c r="Q1321" s="3"/>
    </row>
    <row r="1322" spans="13:17" x14ac:dyDescent="0.2">
      <c r="M1322" s="3"/>
      <c r="N1322" s="3"/>
      <c r="O1322" s="3"/>
      <c r="P1322" s="3"/>
      <c r="Q1322" s="3"/>
    </row>
    <row r="1323" spans="13:17" x14ac:dyDescent="0.2">
      <c r="M1323" s="3"/>
      <c r="N1323" s="3"/>
      <c r="O1323" s="3"/>
      <c r="P1323" s="3"/>
      <c r="Q1323" s="3"/>
    </row>
    <row r="1324" spans="13:17" x14ac:dyDescent="0.2">
      <c r="M1324" s="3"/>
      <c r="N1324" s="3"/>
      <c r="O1324" s="3"/>
      <c r="P1324" s="3"/>
      <c r="Q1324" s="3"/>
    </row>
    <row r="1325" spans="13:17" x14ac:dyDescent="0.2">
      <c r="M1325" s="3"/>
      <c r="N1325" s="3"/>
      <c r="O1325" s="3"/>
      <c r="P1325" s="3"/>
      <c r="Q1325" s="3"/>
    </row>
    <row r="1326" spans="13:17" x14ac:dyDescent="0.2">
      <c r="M1326" s="3"/>
      <c r="N1326" s="3"/>
      <c r="O1326" s="3"/>
      <c r="P1326" s="3"/>
      <c r="Q1326" s="3"/>
    </row>
    <row r="1327" spans="13:17" x14ac:dyDescent="0.2">
      <c r="M1327" s="3"/>
      <c r="N1327" s="3"/>
      <c r="O1327" s="3"/>
      <c r="P1327" s="3"/>
      <c r="Q1327" s="3"/>
    </row>
    <row r="1328" spans="13:17" x14ac:dyDescent="0.2">
      <c r="M1328" s="3"/>
      <c r="N1328" s="3"/>
      <c r="O1328" s="3"/>
      <c r="P1328" s="3"/>
      <c r="Q1328" s="3"/>
    </row>
    <row r="1329" spans="13:17" x14ac:dyDescent="0.2">
      <c r="M1329" s="3"/>
      <c r="N1329" s="3"/>
      <c r="O1329" s="3"/>
      <c r="P1329" s="3"/>
      <c r="Q1329" s="3"/>
    </row>
    <row r="1330" spans="13:17" x14ac:dyDescent="0.2">
      <c r="M1330" s="3"/>
      <c r="N1330" s="3"/>
      <c r="O1330" s="3"/>
      <c r="P1330" s="3"/>
      <c r="Q1330" s="3"/>
    </row>
    <row r="1331" spans="13:17" x14ac:dyDescent="0.2">
      <c r="M1331" s="3"/>
      <c r="N1331" s="3"/>
      <c r="O1331" s="3"/>
      <c r="P1331" s="3"/>
      <c r="Q1331" s="3"/>
    </row>
    <row r="1332" spans="13:17" x14ac:dyDescent="0.2">
      <c r="M1332" s="3"/>
      <c r="N1332" s="3"/>
      <c r="O1332" s="3"/>
      <c r="P1332" s="3"/>
      <c r="Q1332" s="3"/>
    </row>
    <row r="1333" spans="13:17" x14ac:dyDescent="0.2">
      <c r="M1333" s="3"/>
      <c r="N1333" s="3"/>
      <c r="O1333" s="3"/>
      <c r="P1333" s="3"/>
      <c r="Q1333" s="3"/>
    </row>
    <row r="1334" spans="13:17" x14ac:dyDescent="0.2">
      <c r="M1334" s="3"/>
      <c r="N1334" s="3"/>
      <c r="O1334" s="3"/>
      <c r="P1334" s="3"/>
      <c r="Q1334" s="3"/>
    </row>
    <row r="1335" spans="13:17" x14ac:dyDescent="0.2">
      <c r="M1335" s="3"/>
      <c r="N1335" s="3"/>
      <c r="O1335" s="3"/>
      <c r="P1335" s="3"/>
      <c r="Q1335" s="3"/>
    </row>
    <row r="1336" spans="13:17" x14ac:dyDescent="0.2">
      <c r="M1336" s="3"/>
      <c r="N1336" s="3"/>
      <c r="O1336" s="3"/>
      <c r="P1336" s="3"/>
      <c r="Q1336" s="3"/>
    </row>
    <row r="1337" spans="13:17" x14ac:dyDescent="0.2">
      <c r="M1337" s="3"/>
      <c r="N1337" s="3"/>
      <c r="O1337" s="3"/>
      <c r="P1337" s="3"/>
      <c r="Q1337" s="3"/>
    </row>
    <row r="1338" spans="13:17" x14ac:dyDescent="0.2">
      <c r="M1338" s="3"/>
      <c r="N1338" s="3"/>
      <c r="O1338" s="3"/>
      <c r="P1338" s="3"/>
      <c r="Q1338" s="3"/>
    </row>
    <row r="1339" spans="13:17" x14ac:dyDescent="0.2">
      <c r="M1339" s="3"/>
      <c r="N1339" s="3"/>
      <c r="O1339" s="3"/>
      <c r="P1339" s="3"/>
      <c r="Q1339" s="3"/>
    </row>
    <row r="1340" spans="13:17" x14ac:dyDescent="0.2">
      <c r="M1340" s="3"/>
      <c r="N1340" s="3"/>
      <c r="O1340" s="3"/>
      <c r="P1340" s="3"/>
      <c r="Q1340" s="3"/>
    </row>
    <row r="1341" spans="13:17" x14ac:dyDescent="0.2">
      <c r="M1341" s="3"/>
      <c r="N1341" s="3"/>
      <c r="O1341" s="3"/>
      <c r="P1341" s="3"/>
      <c r="Q1341" s="3"/>
    </row>
    <row r="1342" spans="13:17" x14ac:dyDescent="0.2">
      <c r="M1342" s="3"/>
      <c r="N1342" s="3"/>
      <c r="O1342" s="3"/>
      <c r="P1342" s="3"/>
      <c r="Q1342" s="3"/>
    </row>
    <row r="1343" spans="13:17" x14ac:dyDescent="0.2">
      <c r="M1343" s="3"/>
      <c r="N1343" s="3"/>
      <c r="O1343" s="3"/>
      <c r="P1343" s="3"/>
      <c r="Q1343" s="3"/>
    </row>
    <row r="1344" spans="13:17" x14ac:dyDescent="0.2">
      <c r="M1344" s="3"/>
      <c r="N1344" s="3"/>
      <c r="O1344" s="3"/>
      <c r="P1344" s="3"/>
      <c r="Q1344" s="3"/>
    </row>
    <row r="1345" spans="13:17" x14ac:dyDescent="0.2">
      <c r="M1345" s="3"/>
      <c r="N1345" s="3"/>
      <c r="O1345" s="3"/>
      <c r="P1345" s="3"/>
      <c r="Q1345" s="3"/>
    </row>
    <row r="1346" spans="13:17" x14ac:dyDescent="0.2">
      <c r="M1346" s="3"/>
      <c r="N1346" s="3"/>
      <c r="O1346" s="3"/>
      <c r="P1346" s="3"/>
      <c r="Q1346" s="3"/>
    </row>
    <row r="1347" spans="13:17" x14ac:dyDescent="0.2">
      <c r="M1347" s="3"/>
      <c r="N1347" s="3"/>
      <c r="O1347" s="3"/>
      <c r="P1347" s="3"/>
      <c r="Q1347" s="3"/>
    </row>
    <row r="1348" spans="13:17" x14ac:dyDescent="0.2">
      <c r="M1348" s="3"/>
      <c r="N1348" s="3"/>
      <c r="O1348" s="3"/>
      <c r="P1348" s="3"/>
      <c r="Q1348" s="3"/>
    </row>
    <row r="1349" spans="13:17" x14ac:dyDescent="0.2">
      <c r="M1349" s="3"/>
      <c r="N1349" s="3"/>
      <c r="O1349" s="3"/>
      <c r="P1349" s="3"/>
      <c r="Q1349" s="3"/>
    </row>
    <row r="1350" spans="13:17" x14ac:dyDescent="0.2">
      <c r="M1350" s="3"/>
      <c r="N1350" s="3"/>
      <c r="O1350" s="3"/>
      <c r="P1350" s="3"/>
      <c r="Q1350" s="3"/>
    </row>
    <row r="1351" spans="13:17" x14ac:dyDescent="0.2">
      <c r="M1351" s="3"/>
      <c r="N1351" s="3"/>
      <c r="O1351" s="3"/>
      <c r="P1351" s="3"/>
      <c r="Q1351" s="3"/>
    </row>
    <row r="1352" spans="13:17" x14ac:dyDescent="0.2">
      <c r="M1352" s="3"/>
      <c r="N1352" s="3"/>
      <c r="O1352" s="3"/>
      <c r="P1352" s="3"/>
      <c r="Q1352" s="3"/>
    </row>
    <row r="1353" spans="13:17" x14ac:dyDescent="0.2">
      <c r="M1353" s="3"/>
      <c r="N1353" s="3"/>
      <c r="O1353" s="3"/>
      <c r="P1353" s="3"/>
      <c r="Q1353" s="3"/>
    </row>
    <row r="1354" spans="13:17" x14ac:dyDescent="0.2">
      <c r="M1354" s="3"/>
      <c r="N1354" s="3"/>
      <c r="O1354" s="3"/>
      <c r="P1354" s="3"/>
      <c r="Q1354" s="3"/>
    </row>
    <row r="1355" spans="13:17" x14ac:dyDescent="0.2">
      <c r="M1355" s="3"/>
      <c r="N1355" s="3"/>
      <c r="O1355" s="3"/>
      <c r="P1355" s="3"/>
      <c r="Q1355" s="3"/>
    </row>
    <row r="1356" spans="13:17" x14ac:dyDescent="0.2">
      <c r="M1356" s="3"/>
      <c r="N1356" s="3"/>
      <c r="O1356" s="3"/>
      <c r="P1356" s="3"/>
      <c r="Q1356" s="3"/>
    </row>
    <row r="1357" spans="13:17" x14ac:dyDescent="0.2">
      <c r="M1357" s="3"/>
      <c r="N1357" s="3"/>
      <c r="O1357" s="3"/>
      <c r="P1357" s="3"/>
      <c r="Q1357" s="3"/>
    </row>
    <row r="1358" spans="13:17" x14ac:dyDescent="0.2">
      <c r="M1358" s="3"/>
      <c r="N1358" s="3"/>
      <c r="O1358" s="3"/>
      <c r="P1358" s="3"/>
      <c r="Q1358" s="3"/>
    </row>
    <row r="1359" spans="13:17" x14ac:dyDescent="0.2">
      <c r="M1359" s="3"/>
      <c r="N1359" s="3"/>
      <c r="O1359" s="3"/>
      <c r="P1359" s="3"/>
      <c r="Q1359" s="3"/>
    </row>
    <row r="1360" spans="13:17" x14ac:dyDescent="0.2">
      <c r="M1360" s="3"/>
      <c r="N1360" s="3"/>
      <c r="O1360" s="3"/>
      <c r="P1360" s="3"/>
      <c r="Q1360" s="3"/>
    </row>
    <row r="1361" spans="13:17" x14ac:dyDescent="0.2">
      <c r="M1361" s="3"/>
      <c r="N1361" s="3"/>
      <c r="O1361" s="3"/>
      <c r="P1361" s="3"/>
      <c r="Q1361" s="3"/>
    </row>
    <row r="1362" spans="13:17" x14ac:dyDescent="0.2">
      <c r="M1362" s="3"/>
      <c r="N1362" s="3"/>
      <c r="O1362" s="3"/>
      <c r="P1362" s="3"/>
      <c r="Q1362" s="3"/>
    </row>
    <row r="1363" spans="13:17" x14ac:dyDescent="0.2">
      <c r="M1363" s="3"/>
      <c r="N1363" s="3"/>
      <c r="O1363" s="3"/>
      <c r="P1363" s="3"/>
      <c r="Q1363" s="3"/>
    </row>
    <row r="1364" spans="13:17" x14ac:dyDescent="0.2">
      <c r="M1364" s="3"/>
      <c r="N1364" s="3"/>
      <c r="O1364" s="3"/>
      <c r="P1364" s="3"/>
      <c r="Q1364" s="3"/>
    </row>
    <row r="1365" spans="13:17" x14ac:dyDescent="0.2">
      <c r="M1365" s="3"/>
      <c r="N1365" s="3"/>
      <c r="O1365" s="3"/>
      <c r="P1365" s="3"/>
      <c r="Q1365" s="3"/>
    </row>
    <row r="1366" spans="13:17" x14ac:dyDescent="0.2">
      <c r="M1366" s="3"/>
      <c r="N1366" s="3"/>
      <c r="O1366" s="3"/>
      <c r="P1366" s="3"/>
      <c r="Q1366" s="3"/>
    </row>
    <row r="1367" spans="13:17" x14ac:dyDescent="0.2">
      <c r="M1367" s="3"/>
      <c r="N1367" s="3"/>
      <c r="O1367" s="3"/>
      <c r="P1367" s="3"/>
      <c r="Q1367" s="3"/>
    </row>
    <row r="1368" spans="13:17" x14ac:dyDescent="0.2">
      <c r="M1368" s="3"/>
      <c r="N1368" s="3"/>
      <c r="O1368" s="3"/>
      <c r="P1368" s="3"/>
      <c r="Q1368" s="3"/>
    </row>
    <row r="1369" spans="13:17" x14ac:dyDescent="0.2">
      <c r="M1369" s="3"/>
      <c r="N1369" s="3"/>
      <c r="O1369" s="3"/>
      <c r="P1369" s="3"/>
      <c r="Q1369" s="3"/>
    </row>
    <row r="1370" spans="13:17" x14ac:dyDescent="0.2">
      <c r="M1370" s="3"/>
      <c r="N1370" s="3"/>
      <c r="O1370" s="3"/>
      <c r="P1370" s="3"/>
      <c r="Q1370" s="3"/>
    </row>
    <row r="1371" spans="13:17" x14ac:dyDescent="0.2">
      <c r="M1371" s="3"/>
      <c r="N1371" s="3"/>
      <c r="O1371" s="3"/>
      <c r="P1371" s="3"/>
      <c r="Q1371" s="3"/>
    </row>
    <row r="1372" spans="13:17" x14ac:dyDescent="0.2">
      <c r="M1372" s="3"/>
      <c r="N1372" s="3"/>
      <c r="O1372" s="3"/>
      <c r="P1372" s="3"/>
      <c r="Q1372" s="3"/>
    </row>
    <row r="1373" spans="13:17" x14ac:dyDescent="0.2">
      <c r="M1373" s="3"/>
      <c r="N1373" s="3"/>
      <c r="O1373" s="3"/>
      <c r="P1373" s="3"/>
      <c r="Q1373" s="3"/>
    </row>
    <row r="1374" spans="13:17" x14ac:dyDescent="0.2">
      <c r="M1374" s="3"/>
      <c r="N1374" s="3"/>
      <c r="O1374" s="3"/>
      <c r="P1374" s="3"/>
      <c r="Q1374" s="3"/>
    </row>
    <row r="1375" spans="13:17" x14ac:dyDescent="0.2">
      <c r="M1375" s="3"/>
      <c r="N1375" s="3"/>
      <c r="O1375" s="3"/>
      <c r="P1375" s="3"/>
      <c r="Q1375" s="3"/>
    </row>
    <row r="1376" spans="13:17" x14ac:dyDescent="0.2">
      <c r="M1376" s="3"/>
      <c r="N1376" s="3"/>
      <c r="O1376" s="3"/>
      <c r="P1376" s="3"/>
      <c r="Q1376" s="3"/>
    </row>
    <row r="1377" spans="13:17" x14ac:dyDescent="0.2">
      <c r="M1377" s="3"/>
      <c r="N1377" s="3"/>
      <c r="O1377" s="3"/>
      <c r="P1377" s="3"/>
      <c r="Q1377" s="3"/>
    </row>
    <row r="1378" spans="13:17" x14ac:dyDescent="0.2">
      <c r="M1378" s="3"/>
      <c r="N1378" s="3"/>
      <c r="O1378" s="3"/>
      <c r="P1378" s="3"/>
      <c r="Q1378" s="3"/>
    </row>
    <row r="1379" spans="13:17" x14ac:dyDescent="0.2">
      <c r="M1379" s="3"/>
      <c r="N1379" s="3"/>
      <c r="O1379" s="3"/>
      <c r="P1379" s="3"/>
      <c r="Q1379" s="3"/>
    </row>
    <row r="1380" spans="13:17" x14ac:dyDescent="0.2">
      <c r="M1380" s="3"/>
      <c r="N1380" s="3"/>
      <c r="O1380" s="3"/>
      <c r="P1380" s="3"/>
      <c r="Q1380" s="3"/>
    </row>
    <row r="1381" spans="13:17" x14ac:dyDescent="0.2">
      <c r="M1381" s="3"/>
      <c r="N1381" s="3"/>
      <c r="O1381" s="3"/>
      <c r="P1381" s="3"/>
      <c r="Q1381" s="3"/>
    </row>
    <row r="1382" spans="13:17" x14ac:dyDescent="0.2">
      <c r="M1382" s="3"/>
      <c r="N1382" s="3"/>
      <c r="O1382" s="3"/>
      <c r="P1382" s="3"/>
      <c r="Q1382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Assumptions</vt:lpstr>
      <vt:lpstr>Numerical integration</vt:lpstr>
      <vt:lpstr>a0</vt:lpstr>
      <vt:lpstr>alpha</vt:lpstr>
      <vt:lpstr>alphat</vt:lpstr>
      <vt:lpstr>B</vt:lpstr>
      <vt:lpstr>callD</vt:lpstr>
      <vt:lpstr>callF</vt:lpstr>
      <vt:lpstr>DD</vt:lpstr>
      <vt:lpstr>dis</vt:lpstr>
      <vt:lpstr>disc</vt:lpstr>
      <vt:lpstr>F</vt:lpstr>
      <vt:lpstr>fcalld</vt:lpstr>
      <vt:lpstr>fcallf</vt:lpstr>
      <vt:lpstr>RR</vt:lpstr>
      <vt:lpstr>sigma</vt:lpstr>
      <vt:lpstr>T</vt:lpstr>
      <vt:lpstr>tax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Shimko</dc:creator>
  <cp:lastModifiedBy>Aman Dhillon</cp:lastModifiedBy>
  <dcterms:created xsi:type="dcterms:W3CDTF">2023-11-30T14:31:42Z</dcterms:created>
  <dcterms:modified xsi:type="dcterms:W3CDTF">2025-12-13T04:51:29Z</dcterms:modified>
</cp:coreProperties>
</file>